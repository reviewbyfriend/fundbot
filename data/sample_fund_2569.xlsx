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ED57D339-9D8A-4813-BF50-163ED199DD1E}" xr6:coauthVersionLast="36" xr6:coauthVersionMax="36" xr10:uidLastSave="{00000000-0000-0000-0000-000000000000}"/>
  <bookViews>
    <workbookView xWindow="-120" yWindow="-120" windowWidth="29040" windowHeight="15720" activeTab="5" xr2:uid="{00000000-000D-0000-FFFF-FFFF00000000}"/>
  </bookViews>
  <sheets>
    <sheet name="ม.ค.69" sheetId="35" r:id="rId1"/>
    <sheet name="ก.พ.69" sheetId="36" r:id="rId2"/>
    <sheet name="มี.ค.68" sheetId="37" r:id="rId3"/>
    <sheet name="เม.ย.68" sheetId="38" r:id="rId4"/>
    <sheet name="พ.ค.68" sheetId="39" r:id="rId5"/>
    <sheet name="มิ.ย.68" sheetId="40" r:id="rId6"/>
    <sheet name="ก.ค.68" sheetId="41" r:id="rId7"/>
    <sheet name="ส.ค.68" sheetId="42" r:id="rId8"/>
    <sheet name="ก.ย.68)" sheetId="43" r:id="rId9"/>
    <sheet name="ก.ย.68(1)" sheetId="44" r:id="rId10"/>
    <sheet name="ต.ค.68" sheetId="45" r:id="rId11"/>
    <sheet name="พ.ย.68" sheetId="46" r:id="rId12"/>
    <sheet name="Sheet1" sheetId="48" r:id="rId13"/>
    <sheet name="ธ.ค.68" sheetId="47" r:id="rId1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39" l="1"/>
  <c r="E12" i="39"/>
  <c r="B12" i="39"/>
  <c r="E16" i="38" l="1"/>
  <c r="E12" i="38"/>
  <c r="B12" i="38"/>
  <c r="B12" i="37" l="1"/>
  <c r="E16" i="36" l="1"/>
  <c r="E12" i="36"/>
  <c r="B12" i="36"/>
  <c r="E14" i="47" l="1"/>
  <c r="B14" i="47" l="1"/>
  <c r="B12" i="46" l="1"/>
  <c r="B11" i="48"/>
  <c r="E15" i="46" l="1"/>
  <c r="E12" i="46"/>
  <c r="G14" i="45"/>
  <c r="E12" i="44" l="1"/>
  <c r="E17" i="45" l="1"/>
  <c r="E14" i="45"/>
  <c r="B14" i="45"/>
  <c r="E15" i="44" l="1"/>
  <c r="B12" i="44"/>
  <c r="B13" i="43" l="1"/>
  <c r="E16" i="43"/>
  <c r="E13" i="43"/>
  <c r="E18" i="42"/>
  <c r="E14" i="42"/>
  <c r="B14" i="42"/>
  <c r="E18" i="41"/>
  <c r="E14" i="41"/>
  <c r="B14" i="41"/>
  <c r="B12" i="40"/>
  <c r="E16" i="40"/>
  <c r="E12" i="40"/>
  <c r="E12" i="37"/>
  <c r="E16" i="37"/>
  <c r="E16" i="35"/>
  <c r="B12" i="35"/>
  <c r="E12" i="35"/>
</calcChain>
</file>

<file path=xl/sharedStrings.xml><?xml version="1.0" encoding="utf-8"?>
<sst xmlns="http://schemas.openxmlformats.org/spreadsheetml/2006/main" count="580" uniqueCount="151">
  <si>
    <t>รายรับ</t>
  </si>
  <si>
    <t>รายจ่าย</t>
  </si>
  <si>
    <t>รวมรายรับ</t>
  </si>
  <si>
    <t>รวมรายจ่าย</t>
  </si>
  <si>
    <t>สำนักงานอัยการพิเศษฝ่ายคดีล้มละลาย ๑</t>
  </si>
  <si>
    <t>ยอดยกมา</t>
  </si>
  <si>
    <t>เรียน  อฝ.ล.๑</t>
  </si>
  <si>
    <t>(นางกัลยาณี  อุทัย)</t>
  </si>
  <si>
    <t>นักจัดการงานทั่วไปชำนาญการ</t>
  </si>
  <si>
    <t xml:space="preserve">               เงินคงเหลือ</t>
  </si>
  <si>
    <t xml:space="preserve">        - เพื่อโปรดทราบ</t>
  </si>
  <si>
    <t xml:space="preserve">              - จัดการตามเสนอ</t>
  </si>
  <si>
    <t>ท่านฝ่ายฯ</t>
  </si>
  <si>
    <t>ท่านอนันท์นุช</t>
  </si>
  <si>
    <t>ท่านพุฒิพงค์</t>
  </si>
  <si>
    <t>ท่านรักษิน</t>
  </si>
  <si>
    <t>ท่านสิริกาญจน์</t>
  </si>
  <si>
    <t>ค่าแม่บ้าน</t>
  </si>
  <si>
    <t>ค่าน้ำ</t>
  </si>
  <si>
    <t xml:space="preserve">              - ทราบ</t>
  </si>
  <si>
    <t>ท่านธนิดา</t>
  </si>
  <si>
    <t xml:space="preserve">        - เห็นควรเวียนแจ้งให้ทราบโดยทั่วกัน</t>
  </si>
  <si>
    <t xml:space="preserve">  (พลัฏฐ์  ทัพพ์พัฒนะ)</t>
  </si>
  <si>
    <t>อัยการพิเศษฝ่ายคดีล้มละลาย ๑</t>
  </si>
  <si>
    <t>เรือโท</t>
  </si>
  <si>
    <r>
      <t>ท่านดวงเดือน</t>
    </r>
    <r>
      <rPr>
        <sz val="16"/>
        <color rgb="FFFF0000"/>
        <rFont val="TH Niramit AS"/>
      </rPr>
      <t xml:space="preserve">      </t>
    </r>
  </si>
  <si>
    <t xml:space="preserve"> </t>
  </si>
  <si>
    <t>นิติกรชำนาญการพิเศษ</t>
  </si>
  <si>
    <t>(ภูริพัฒน์  ธิติไท)</t>
  </si>
  <si>
    <t xml:space="preserve">      ว่าที่ร้อยตรี</t>
  </si>
  <si>
    <t>ท่านเทพประทาน</t>
  </si>
  <si>
    <t>ซื้อของเข้าสำนักงาน</t>
  </si>
  <si>
    <t>ค่าล้างตู้เย็น</t>
  </si>
  <si>
    <t>1 ก.ค.68</t>
  </si>
  <si>
    <t>ประจำเดือน กรกฎาคม 2568</t>
  </si>
  <si>
    <t>7 ก.ค.68</t>
  </si>
  <si>
    <t>๑ ส.ค.๖๘</t>
  </si>
  <si>
    <t>ประจำเดือน สิงหาคม 2568</t>
  </si>
  <si>
    <t>1 ส.ค.68</t>
  </si>
  <si>
    <t>๒๙ ส.ค.๖๘</t>
  </si>
  <si>
    <t>ประจำเดือน กันยายน 2568</t>
  </si>
  <si>
    <t>๙ ก.ย.๖๘</t>
  </si>
  <si>
    <t>ประจำเดือน กันยายน 2568(รับต่อจากนางกัลยาณี อุทัย)</t>
  </si>
  <si>
    <t>ท่านมณฑล  อรรถบลยุคล</t>
  </si>
  <si>
    <t>ค่าตรายางท่านฝ่าย</t>
  </si>
  <si>
    <t>ค่าตรายางท่านมณฑล</t>
  </si>
  <si>
    <t>ค่าน้ำยาขัดพื้น</t>
  </si>
  <si>
    <t>ค่าของขวัญท่านฝ่าย,ท่านเทพประทาน</t>
  </si>
  <si>
    <t>ค่าของขวัญท่านอนันท์นุช,นางกัลยาณี</t>
  </si>
  <si>
    <t>ค่าดอกไม้อวยพรท่านอธิบดี,รอง</t>
  </si>
  <si>
    <t>ค่ากระเช้าผลไม้เยี่ยมท่านอาภาภรณ์</t>
  </si>
  <si>
    <t>ค่าดอกไม้ต้อนรับท่านฝ่าย</t>
  </si>
  <si>
    <t>17 กย 68</t>
  </si>
  <si>
    <t>23 กย 68</t>
  </si>
  <si>
    <t>25 กย 68</t>
  </si>
  <si>
    <t>ประจำเดือนตุลาคม 2568</t>
  </si>
  <si>
    <t>2 ตค 68</t>
  </si>
  <si>
    <t>4 ตค 68</t>
  </si>
  <si>
    <t>ค่าตรายางท่านฝ่าย,ท่านมณฑล</t>
  </si>
  <si>
    <t>6 ตค 68</t>
  </si>
  <si>
    <t>8 ตค 68</t>
  </si>
  <si>
    <t xml:space="preserve">  (นางสาวมัลลิกา เพ็งคำ)</t>
  </si>
  <si>
    <t>(นางสาวอาภัสราวลัย สุขะตุงคะ)</t>
  </si>
  <si>
    <t>เจ้าพนักงานธุรการชำนาญงาน</t>
  </si>
  <si>
    <t>8 ต.ค.68</t>
  </si>
  <si>
    <t>อัยการพิเศษฝ่ายคดีล้มละลาย 1</t>
  </si>
  <si>
    <t>อัยการพิเศษฝ่าย สำนักงานคดีภาษีอากร ปฏิบัติราชการในหน้าที่</t>
  </si>
  <si>
    <t xml:space="preserve"> 8 ต.ค.68</t>
  </si>
  <si>
    <t>ค่าชั้นคว่ำจาน</t>
  </si>
  <si>
    <t>ค่าถังพลาสติก</t>
  </si>
  <si>
    <t>ค่าชั้นวางจาน</t>
  </si>
  <si>
    <t>ค่าถังพลาสติกใส่จาน</t>
  </si>
  <si>
    <t>ค่าพวงหรีดงานพ่อท่านศิริกาญจน์</t>
  </si>
  <si>
    <t>ค่าพวงหรีด</t>
  </si>
  <si>
    <t>ค่ากาวสองหน้า</t>
  </si>
  <si>
    <t>12 ตค 68</t>
  </si>
  <si>
    <t>ค่าเทปกาวสองหน้า</t>
  </si>
  <si>
    <t>29 ตค 68</t>
  </si>
  <si>
    <t>3 พย 68</t>
  </si>
  <si>
    <t xml:space="preserve"> 3 พย 68</t>
  </si>
  <si>
    <t>31 ตค 68</t>
  </si>
  <si>
    <t>ค่าแม่บ้าน1000</t>
  </si>
  <si>
    <t>ประจำเดือนพฤศจิกายน 2568</t>
  </si>
  <si>
    <t>1 ธค  68</t>
  </si>
  <si>
    <t>1 ธค 68</t>
  </si>
  <si>
    <t xml:space="preserve"> 1 ธค 68</t>
  </si>
  <si>
    <t>ประจำเดือนธันวาคม 2568</t>
  </si>
  <si>
    <t>จัดเลี้ยงปีใหม่อำนวยการ</t>
  </si>
  <si>
    <t>ค่าใส่ซองปีใหม่</t>
  </si>
  <si>
    <t>ค่าของทำบุญ359</t>
  </si>
  <si>
    <t>ค่าของทำบุญในเซเว่น 1064</t>
  </si>
  <si>
    <t xml:space="preserve">                                                                                                            </t>
  </si>
  <si>
    <t>ค่าครก</t>
  </si>
  <si>
    <t>ค่ากระติกน้ำร้อน</t>
  </si>
  <si>
    <t>ค่าขัดล้างห้อง</t>
  </si>
  <si>
    <t>8 ธค 68</t>
  </si>
  <si>
    <t>4 ธค 68</t>
  </si>
  <si>
    <t>15 ธค 68</t>
  </si>
  <si>
    <t>ล้างตู้เย็น</t>
  </si>
  <si>
    <t>17 ธค 68</t>
  </si>
  <si>
    <t>19 ธค 68</t>
  </si>
  <si>
    <t>ค่าจัดชุดทำบุญ(ครบรอบ50วัน)</t>
  </si>
  <si>
    <t>9 ธค 68</t>
  </si>
  <si>
    <t>24 ธค 68</t>
  </si>
  <si>
    <t>ค่าเครื่องทำส้มตำ</t>
  </si>
  <si>
    <t>6 มค 69</t>
  </si>
  <si>
    <t xml:space="preserve"> 6 มค 69</t>
  </si>
  <si>
    <t>ท่านมณฑล อรรถบลยุคล</t>
  </si>
  <si>
    <t>5 มค 69</t>
  </si>
  <si>
    <t>ค่าของทำบุญขึ้นปีใหม่(ชุดละ 139 รวม 9 ชุด</t>
  </si>
  <si>
    <t>ประจำเดือน มกราคม 2569</t>
  </si>
  <si>
    <t>3 ก.พ.69</t>
  </si>
  <si>
    <t>3 กพ 69</t>
  </si>
  <si>
    <t>ประจำเดือน กุมภาพันธ์ 2569</t>
  </si>
  <si>
    <t>2  มีค 69</t>
  </si>
  <si>
    <t>ประจำเดือน มีนาคม 2569</t>
  </si>
  <si>
    <t>6 มี.ค.69</t>
  </si>
  <si>
    <t>6 มี.ค. 69</t>
  </si>
  <si>
    <t>ค่าเคเอฟซี ,พิซซ่า</t>
  </si>
  <si>
    <t>9 มีค 69</t>
  </si>
  <si>
    <t>ค่ากาแฟ</t>
  </si>
  <si>
    <t>12 มีค 69</t>
  </si>
  <si>
    <t>ค่าทิชชู</t>
  </si>
  <si>
    <t>13 มีค 69</t>
  </si>
  <si>
    <t>31 มีค 69</t>
  </si>
  <si>
    <t>1 เม.ย.69</t>
  </si>
  <si>
    <t>1 เม.ย. 69</t>
  </si>
  <si>
    <t>(นางสาวจริยา หลวงฤทธิ์)</t>
  </si>
  <si>
    <t>ประจำเดือน เมษายน 2569</t>
  </si>
  <si>
    <t>ค่าช่วยงานคุณพ่อนางธิดารัตน์   บัวทอง(น้ำอำนวยการ)</t>
  </si>
  <si>
    <t>1 เมย  69</t>
  </si>
  <si>
    <t>10 เมย 69</t>
  </si>
  <si>
    <t>11 เมย 69</t>
  </si>
  <si>
    <t>ค่าหลอดไฟ</t>
  </si>
  <si>
    <t xml:space="preserve"> 5 พ.ค.69</t>
  </si>
  <si>
    <t>5 พ.ค. 69</t>
  </si>
  <si>
    <t>3 เมย 69</t>
  </si>
  <si>
    <t>ประจำเดือนพฤษภาคม 2569</t>
  </si>
  <si>
    <t>ทิชชูกล่อง</t>
  </si>
  <si>
    <t>1 พค  69</t>
  </si>
  <si>
    <t>(นางมัลลิกา เพ็งคำ)</t>
  </si>
  <si>
    <t xml:space="preserve"> 11 มิย.69</t>
  </si>
  <si>
    <t>11 มิย 69</t>
  </si>
  <si>
    <t>11 มิ.ย.69</t>
  </si>
  <si>
    <t>ท่านมณฑล</t>
  </si>
  <si>
    <t>ค่าซื้อของเข้าสำนักงาน</t>
  </si>
  <si>
    <t>23 มิ.ย.69</t>
  </si>
  <si>
    <t>16 มิ.ย.69</t>
  </si>
  <si>
    <t>4 มิ.ย.69</t>
  </si>
  <si>
    <t>ค่าของใส่บาตรครบ15 วัน(องค์ภา)</t>
  </si>
  <si>
    <t>ประจำเดือน มิถุนายน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</si>
</sst>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Niramit AS"/>
    </font>
    <font>
      <sz val="16"/>
      <color rgb="FFFF0000"/>
      <name val="TH Niramit AS"/>
    </font>
    <font>
      <sz val="16"/>
      <name val="TH Niramit AS"/>
    </font>
    <font>
      <b/>
      <sz val="16"/>
      <color theme="1"/>
      <name val="TH Niramit AS"/>
    </font>
    <font>
      <sz val="14"/>
      <color theme="1"/>
      <name val="TH Niramit AS"/>
    </font>
    <font>
      <sz val="14"/>
      <name val="TH Niramit AS"/>
    </font>
    <font>
      <sz val="18"/>
      <color theme="1"/>
      <name val="TH Niramit A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/>
    <xf numFmtId="43" fontId="2" fillId="0" borderId="0" xfId="1" applyFont="1" applyBorder="1"/>
    <xf numFmtId="49" fontId="4" fillId="0" borderId="4" xfId="0" applyNumberFormat="1" applyFont="1" applyBorder="1" applyAlignment="1">
      <alignment horizontal="right"/>
    </xf>
    <xf numFmtId="0" fontId="4" fillId="0" borderId="4" xfId="0" applyFont="1" applyBorder="1"/>
    <xf numFmtId="0" fontId="4" fillId="0" borderId="0" xfId="0" applyFont="1" applyBorder="1"/>
    <xf numFmtId="49" fontId="4" fillId="0" borderId="0" xfId="0" applyNumberFormat="1" applyFont="1" applyBorder="1" applyAlignment="1">
      <alignment horizontal="right"/>
    </xf>
    <xf numFmtId="43" fontId="4" fillId="0" borderId="0" xfId="1" applyFont="1" applyBorder="1"/>
    <xf numFmtId="49" fontId="2" fillId="0" borderId="0" xfId="0" applyNumberFormat="1" applyFont="1" applyBorder="1" applyAlignment="1">
      <alignment horizontal="right"/>
    </xf>
    <xf numFmtId="43" fontId="3" fillId="0" borderId="0" xfId="0" applyNumberFormat="1" applyFont="1" applyBorder="1"/>
    <xf numFmtId="43" fontId="4" fillId="0" borderId="0" xfId="0" applyNumberFormat="1" applyFont="1" applyBorder="1"/>
    <xf numFmtId="0" fontId="4" fillId="2" borderId="4" xfId="0" applyFont="1" applyFill="1" applyBorder="1"/>
    <xf numFmtId="0" fontId="2" fillId="2" borderId="0" xfId="0" applyFont="1" applyFill="1"/>
    <xf numFmtId="43" fontId="4" fillId="2" borderId="4" xfId="1" applyFont="1" applyFill="1" applyBorder="1"/>
    <xf numFmtId="43" fontId="4" fillId="2" borderId="4" xfId="0" applyNumberFormat="1" applyFont="1" applyFill="1" applyBorder="1"/>
    <xf numFmtId="49" fontId="4" fillId="0" borderId="5" xfId="0" applyNumberFormat="1" applyFont="1" applyBorder="1" applyAlignment="1">
      <alignment horizontal="right"/>
    </xf>
    <xf numFmtId="49" fontId="4" fillId="2" borderId="4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43" fontId="4" fillId="0" borderId="5" xfId="0" applyNumberFormat="1" applyFont="1" applyBorder="1"/>
    <xf numFmtId="0" fontId="4" fillId="0" borderId="5" xfId="0" applyFont="1" applyBorder="1"/>
    <xf numFmtId="0" fontId="4" fillId="0" borderId="4" xfId="0" applyFont="1" applyBorder="1" applyAlignment="1">
      <alignment horizontal="left"/>
    </xf>
    <xf numFmtId="0" fontId="2" fillId="0" borderId="6" xfId="0" applyFont="1" applyBorder="1"/>
    <xf numFmtId="0" fontId="5" fillId="0" borderId="0" xfId="0" applyFont="1" applyBorder="1"/>
    <xf numFmtId="43" fontId="0" fillId="0" borderId="0" xfId="1" applyFont="1"/>
    <xf numFmtId="43" fontId="2" fillId="0" borderId="0" xfId="0" applyNumberFormat="1" applyFont="1"/>
    <xf numFmtId="43" fontId="4" fillId="2" borderId="4" xfId="1" applyFont="1" applyFill="1" applyBorder="1" applyAlignment="1">
      <alignment horizontal="right"/>
    </xf>
    <xf numFmtId="0" fontId="6" fillId="0" borderId="0" xfId="0" applyFont="1"/>
    <xf numFmtId="0" fontId="6" fillId="0" borderId="0" xfId="0" applyFont="1" applyBorder="1"/>
    <xf numFmtId="49" fontId="6" fillId="0" borderId="0" xfId="0" applyNumberFormat="1" applyFont="1" applyBorder="1" applyAlignment="1">
      <alignment horizontal="right"/>
    </xf>
    <xf numFmtId="49" fontId="6" fillId="0" borderId="0" xfId="0" applyNumberFormat="1" applyFont="1" applyAlignment="1">
      <alignment horizontal="left"/>
    </xf>
    <xf numFmtId="0" fontId="8" fillId="0" borderId="0" xfId="0" applyFont="1"/>
    <xf numFmtId="0" fontId="4" fillId="0" borderId="4" xfId="0" applyFont="1" applyBorder="1" applyAlignment="1">
      <alignment vertical="top"/>
    </xf>
    <xf numFmtId="43" fontId="4" fillId="2" borderId="4" xfId="1" applyFont="1" applyFill="1" applyBorder="1" applyAlignment="1">
      <alignment vertical="top"/>
    </xf>
    <xf numFmtId="49" fontId="4" fillId="0" borderId="4" xfId="0" applyNumberFormat="1" applyFont="1" applyBorder="1" applyAlignment="1">
      <alignment horizontal="right" vertical="top"/>
    </xf>
    <xf numFmtId="43" fontId="4" fillId="2" borderId="4" xfId="0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43" fontId="0" fillId="0" borderId="0" xfId="0" applyNumberFormat="1"/>
    <xf numFmtId="49" fontId="6" fillId="0" borderId="0" xfId="0" applyNumberFormat="1" applyFont="1" applyAlignment="1">
      <alignment vertical="center"/>
    </xf>
    <xf numFmtId="0" fontId="6" fillId="0" borderId="0" xfId="0" applyFont="1" applyAlignment="1"/>
    <xf numFmtId="49" fontId="6" fillId="0" borderId="0" xfId="0" applyNumberFormat="1" applyFont="1" applyAlignment="1"/>
    <xf numFmtId="43" fontId="5" fillId="0" borderId="7" xfId="1" applyFont="1" applyBorder="1" applyAlignment="1">
      <alignment horizontal="center"/>
    </xf>
    <xf numFmtId="43" fontId="4" fillId="0" borderId="8" xfId="1" applyFont="1" applyBorder="1"/>
    <xf numFmtId="0" fontId="6" fillId="0" borderId="0" xfId="0" applyFont="1" applyAlignment="1">
      <alignment horizontal="left"/>
    </xf>
    <xf numFmtId="49" fontId="7" fillId="0" borderId="0" xfId="0" applyNumberFormat="1" applyFont="1" applyBorder="1" applyAlignment="1"/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3" fontId="4" fillId="0" borderId="5" xfId="1" applyFont="1" applyBorder="1"/>
    <xf numFmtId="43" fontId="2" fillId="2" borderId="4" xfId="1" applyFont="1" applyFill="1" applyBorder="1"/>
    <xf numFmtId="49" fontId="2" fillId="0" borderId="0" xfId="0" applyNumberFormat="1" applyFont="1" applyBorder="1" applyAlignment="1">
      <alignment horizontal="center"/>
    </xf>
    <xf numFmtId="49" fontId="2" fillId="0" borderId="0" xfId="0" applyNumberFormat="1" applyFont="1" applyAlignment="1"/>
    <xf numFmtId="43" fontId="2" fillId="0" borderId="0" xfId="0" applyNumberFormat="1" applyFont="1" applyAlignment="1">
      <alignment vertical="top"/>
    </xf>
    <xf numFmtId="43" fontId="2" fillId="2" borderId="0" xfId="0" applyNumberFormat="1" applyFont="1" applyFill="1"/>
    <xf numFmtId="43" fontId="0" fillId="0" borderId="0" xfId="1" applyNumberFormat="1" applyFont="1"/>
    <xf numFmtId="43" fontId="2" fillId="0" borderId="0" xfId="1" applyNumberFormat="1" applyFont="1"/>
    <xf numFmtId="0" fontId="6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3" fontId="4" fillId="0" borderId="4" xfId="0" applyNumberFormat="1" applyFont="1" applyBorder="1"/>
    <xf numFmtId="43" fontId="4" fillId="0" borderId="4" xfId="1" applyFont="1" applyBorder="1"/>
    <xf numFmtId="0" fontId="4" fillId="0" borderId="4" xfId="0" applyFont="1" applyBorder="1" applyAlignment="1">
      <alignment wrapText="1"/>
    </xf>
    <xf numFmtId="0" fontId="6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38C8-9803-4B9C-BD6B-206BF6E04DE1}">
  <dimension ref="A1:H30"/>
  <sheetViews>
    <sheetView topLeftCell="A16" workbookViewId="0">
      <selection activeCell="E27" sqref="E27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1.59765625" style="1" customWidth="1"/>
    <col min="6" max="6" width="14.69921875" style="1" customWidth="1"/>
    <col min="7" max="7" width="11" style="1" bestFit="1" customWidth="1"/>
    <col min="8" max="8" width="14.09765625" style="1" customWidth="1"/>
    <col min="9" max="9" width="10.8984375" style="1" customWidth="1"/>
    <col min="10" max="16384" width="9" style="1"/>
  </cols>
  <sheetData>
    <row r="1" spans="1:8" x14ac:dyDescent="0.75">
      <c r="A1" s="75" t="s">
        <v>4</v>
      </c>
      <c r="B1" s="75"/>
      <c r="C1" s="75"/>
      <c r="D1" s="75"/>
      <c r="E1" s="75"/>
    </row>
    <row r="2" spans="1:8" x14ac:dyDescent="0.75">
      <c r="A2" s="75" t="s">
        <v>110</v>
      </c>
      <c r="B2" s="75"/>
      <c r="C2" s="75"/>
      <c r="D2" s="75"/>
      <c r="E2" s="75"/>
    </row>
    <row r="3" spans="1:8" x14ac:dyDescent="0.75">
      <c r="A3" s="76" t="s">
        <v>0</v>
      </c>
      <c r="B3" s="77"/>
      <c r="C3" s="76" t="s">
        <v>1</v>
      </c>
      <c r="D3" s="78"/>
      <c r="E3" s="77"/>
    </row>
    <row r="4" spans="1:8" x14ac:dyDescent="0.75">
      <c r="A4" s="22" t="s">
        <v>5</v>
      </c>
      <c r="B4" s="15">
        <v>10848.5</v>
      </c>
      <c r="C4" s="5" t="s">
        <v>108</v>
      </c>
      <c r="D4" s="6" t="s">
        <v>17</v>
      </c>
      <c r="E4" s="16">
        <v>1000</v>
      </c>
    </row>
    <row r="5" spans="1:8" s="37" customFormat="1" ht="50.4" x14ac:dyDescent="0.75">
      <c r="A5" s="33" t="s">
        <v>12</v>
      </c>
      <c r="B5" s="34">
        <v>2500</v>
      </c>
      <c r="C5" s="35" t="s">
        <v>108</v>
      </c>
      <c r="D5" s="66" t="s">
        <v>109</v>
      </c>
      <c r="E5" s="16">
        <v>1251</v>
      </c>
    </row>
    <row r="6" spans="1:8" x14ac:dyDescent="0.75">
      <c r="A6" s="23" t="s">
        <v>14</v>
      </c>
      <c r="B6" s="27">
        <v>800</v>
      </c>
      <c r="C6" s="5"/>
      <c r="D6" s="6" t="s">
        <v>18</v>
      </c>
      <c r="E6" s="16">
        <v>1745</v>
      </c>
    </row>
    <row r="7" spans="1:8" s="14" customFormat="1" x14ac:dyDescent="0.75">
      <c r="A7" s="13" t="s">
        <v>15</v>
      </c>
      <c r="B7" s="15">
        <v>500</v>
      </c>
      <c r="C7" s="5"/>
      <c r="D7" s="6"/>
      <c r="E7" s="16"/>
      <c r="H7" s="19"/>
    </row>
    <row r="8" spans="1:8" x14ac:dyDescent="0.75">
      <c r="A8" s="6" t="s">
        <v>20</v>
      </c>
      <c r="B8" s="15">
        <v>500</v>
      </c>
      <c r="C8" s="18"/>
      <c r="D8" s="6"/>
      <c r="E8" s="15"/>
    </row>
    <row r="9" spans="1:8" x14ac:dyDescent="0.75">
      <c r="A9" s="6" t="s">
        <v>16</v>
      </c>
      <c r="B9" s="15">
        <v>500</v>
      </c>
      <c r="C9" s="18"/>
      <c r="D9" s="6"/>
      <c r="E9" s="15"/>
      <c r="G9" s="1" t="s">
        <v>26</v>
      </c>
    </row>
    <row r="10" spans="1:8" x14ac:dyDescent="0.75">
      <c r="A10" s="6" t="s">
        <v>107</v>
      </c>
      <c r="B10" s="15">
        <v>300</v>
      </c>
      <c r="C10" s="18"/>
      <c r="D10" s="6"/>
      <c r="E10" s="15"/>
    </row>
    <row r="11" spans="1:8" x14ac:dyDescent="0.75">
      <c r="A11" s="6" t="s">
        <v>25</v>
      </c>
      <c r="B11" s="15">
        <v>1000</v>
      </c>
      <c r="C11" s="18"/>
      <c r="D11" s="6"/>
      <c r="E11" s="15"/>
    </row>
    <row r="12" spans="1:8" ht="25.8" thickBot="1" x14ac:dyDescent="0.8">
      <c r="A12" s="21" t="s">
        <v>2</v>
      </c>
      <c r="B12" s="20">
        <f>SUM(B4:B11)</f>
        <v>16948.5</v>
      </c>
      <c r="C12" s="17"/>
      <c r="D12" s="21" t="s">
        <v>3</v>
      </c>
      <c r="E12" s="43">
        <f>SUM(E4:E11)</f>
        <v>3996</v>
      </c>
    </row>
    <row r="13" spans="1:8" ht="25.8" thickTop="1" x14ac:dyDescent="0.75">
      <c r="A13" s="7"/>
      <c r="B13" s="12"/>
      <c r="C13" s="8"/>
      <c r="D13" s="7"/>
      <c r="E13" s="9"/>
    </row>
    <row r="14" spans="1:8" x14ac:dyDescent="0.75">
      <c r="A14" s="3"/>
      <c r="B14" s="3"/>
      <c r="C14" s="10"/>
      <c r="D14" s="3" t="s">
        <v>0</v>
      </c>
      <c r="E14" s="12">
        <v>16948.5</v>
      </c>
      <c r="G14" s="25"/>
    </row>
    <row r="15" spans="1:8" x14ac:dyDescent="0.75">
      <c r="A15" s="3"/>
      <c r="B15" s="3"/>
      <c r="C15" s="10"/>
      <c r="D15" s="3" t="s">
        <v>1</v>
      </c>
      <c r="E15" s="9">
        <v>3996</v>
      </c>
      <c r="G15" s="2"/>
    </row>
    <row r="16" spans="1:8" ht="25.8" thickBot="1" x14ac:dyDescent="0.8">
      <c r="A16" s="3"/>
      <c r="B16" s="3"/>
      <c r="C16" s="10"/>
      <c r="D16" s="24" t="s">
        <v>9</v>
      </c>
      <c r="E16" s="42">
        <f>SUM(E14-E15)</f>
        <v>12952.5</v>
      </c>
      <c r="G16" s="2"/>
    </row>
    <row r="17" spans="1:8" ht="25.8" thickTop="1" x14ac:dyDescent="0.75">
      <c r="A17" s="29"/>
      <c r="B17" s="29"/>
      <c r="C17" s="30"/>
      <c r="D17" s="31"/>
      <c r="E17" s="38"/>
    </row>
    <row r="18" spans="1:8" ht="27.6" x14ac:dyDescent="0.8">
      <c r="A18" s="29" t="s">
        <v>10</v>
      </c>
      <c r="B18" s="29"/>
      <c r="C18" s="30"/>
      <c r="D18" s="31" t="s">
        <v>19</v>
      </c>
      <c r="E18"/>
      <c r="H18" s="32"/>
    </row>
    <row r="19" spans="1:8" ht="21" customHeight="1" x14ac:dyDescent="0.75">
      <c r="A19" s="29" t="s">
        <v>21</v>
      </c>
      <c r="B19" s="29"/>
      <c r="C19" s="30"/>
      <c r="D19" s="41" t="s">
        <v>11</v>
      </c>
      <c r="E19"/>
    </row>
    <row r="20" spans="1:8" x14ac:dyDescent="0.75">
      <c r="A20" s="29"/>
      <c r="B20" s="29"/>
      <c r="C20" s="30"/>
      <c r="D20" s="44"/>
      <c r="E20"/>
      <c r="H20" s="2"/>
    </row>
    <row r="21" spans="1:8" ht="21" customHeight="1" x14ac:dyDescent="0.75">
      <c r="A21" s="73" t="s">
        <v>62</v>
      </c>
      <c r="B21" s="73"/>
      <c r="C21" s="30"/>
      <c r="D21" s="46" t="s">
        <v>61</v>
      </c>
      <c r="E21" s="39"/>
      <c r="H21" s="2"/>
    </row>
    <row r="22" spans="1:8" ht="20.25" customHeight="1" x14ac:dyDescent="0.75">
      <c r="A22" s="73" t="s">
        <v>63</v>
      </c>
      <c r="B22" s="73"/>
      <c r="C22" s="30"/>
      <c r="D22" s="48" t="s">
        <v>65</v>
      </c>
      <c r="E22" s="40"/>
      <c r="H22" s="2"/>
    </row>
    <row r="23" spans="1:8" ht="20.25" customHeight="1" x14ac:dyDescent="0.75">
      <c r="A23" s="74" t="s">
        <v>111</v>
      </c>
      <c r="B23" s="74"/>
      <c r="C23" s="30"/>
      <c r="D23" s="48" t="s">
        <v>111</v>
      </c>
      <c r="E23" s="41"/>
    </row>
    <row r="24" spans="1:8" ht="20.25" customHeight="1" x14ac:dyDescent="0.75">
      <c r="A24" s="3"/>
      <c r="B24" s="4"/>
      <c r="C24" s="67"/>
      <c r="D24" s="67"/>
      <c r="E24" s="67"/>
      <c r="H24" s="2"/>
    </row>
    <row r="25" spans="1:8" ht="20.25" customHeight="1" x14ac:dyDescent="0.75">
      <c r="A25" s="29" t="s">
        <v>29</v>
      </c>
      <c r="B25" s="11"/>
      <c r="C25" s="3"/>
      <c r="D25" s="49"/>
      <c r="E25" s="45"/>
      <c r="H25" s="2"/>
    </row>
    <row r="26" spans="1:8" x14ac:dyDescent="0.75">
      <c r="A26" s="73" t="s">
        <v>28</v>
      </c>
      <c r="B26" s="73"/>
      <c r="C26" s="3"/>
      <c r="D26" s="28"/>
      <c r="E26"/>
      <c r="H26" s="26"/>
    </row>
    <row r="27" spans="1:8" x14ac:dyDescent="0.75">
      <c r="A27" s="73" t="s">
        <v>27</v>
      </c>
      <c r="B27" s="73"/>
      <c r="C27" s="3"/>
      <c r="D27"/>
      <c r="E27" s="28"/>
      <c r="H27" s="26"/>
    </row>
    <row r="28" spans="1:8" x14ac:dyDescent="0.75">
      <c r="A28" s="74" t="s">
        <v>112</v>
      </c>
      <c r="B28" s="74"/>
      <c r="E28" s="2"/>
    </row>
    <row r="29" spans="1:8" x14ac:dyDescent="0.75">
      <c r="E29" s="4"/>
    </row>
    <row r="30" spans="1:8" x14ac:dyDescent="0.75">
      <c r="E30" s="4"/>
    </row>
  </sheetData>
  <mergeCells count="10">
    <mergeCell ref="A1:E1"/>
    <mergeCell ref="A2:E2"/>
    <mergeCell ref="A3:B3"/>
    <mergeCell ref="C3:E3"/>
    <mergeCell ref="A21:B21"/>
    <mergeCell ref="A27:B27"/>
    <mergeCell ref="A28:B28"/>
    <mergeCell ref="A26:B26"/>
    <mergeCell ref="A23:B23"/>
    <mergeCell ref="A22:B22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E738-0D85-4765-9E4F-C4DD97AF6DC4}">
  <dimension ref="A1:H30"/>
  <sheetViews>
    <sheetView topLeftCell="A7" workbookViewId="0">
      <selection activeCell="A18" sqref="A18:E28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1.59765625" style="1" customWidth="1"/>
    <col min="6" max="6" width="14.69921875" style="1" customWidth="1"/>
    <col min="7" max="7" width="11" style="1" bestFit="1" customWidth="1"/>
    <col min="8" max="8" width="14.09765625" style="1" customWidth="1"/>
    <col min="9" max="9" width="10.8984375" style="1" customWidth="1"/>
    <col min="10" max="16384" width="9" style="1"/>
  </cols>
  <sheetData>
    <row r="1" spans="1:8" x14ac:dyDescent="0.75">
      <c r="A1" s="75" t="s">
        <v>4</v>
      </c>
      <c r="B1" s="75"/>
      <c r="C1" s="75"/>
      <c r="D1" s="75"/>
      <c r="E1" s="75"/>
    </row>
    <row r="2" spans="1:8" x14ac:dyDescent="0.75">
      <c r="A2" s="75" t="s">
        <v>113</v>
      </c>
      <c r="B2" s="75"/>
      <c r="C2" s="75"/>
      <c r="D2" s="75"/>
      <c r="E2" s="75"/>
    </row>
    <row r="3" spans="1:8" x14ac:dyDescent="0.75">
      <c r="A3" s="76" t="s">
        <v>0</v>
      </c>
      <c r="B3" s="77"/>
      <c r="C3" s="76" t="s">
        <v>1</v>
      </c>
      <c r="D3" s="78"/>
      <c r="E3" s="77"/>
    </row>
    <row r="4" spans="1:8" x14ac:dyDescent="0.75">
      <c r="A4" s="22" t="s">
        <v>5</v>
      </c>
      <c r="B4" s="15">
        <v>12952.5</v>
      </c>
      <c r="C4" s="5" t="s">
        <v>108</v>
      </c>
      <c r="D4" s="6" t="s">
        <v>17</v>
      </c>
      <c r="E4" s="16">
        <v>1000</v>
      </c>
    </row>
    <row r="5" spans="1:8" s="37" customFormat="1" x14ac:dyDescent="0.75">
      <c r="A5" s="33" t="s">
        <v>12</v>
      </c>
      <c r="B5" s="34">
        <v>2500</v>
      </c>
      <c r="C5" s="35" t="s">
        <v>108</v>
      </c>
      <c r="D5" s="66" t="s">
        <v>31</v>
      </c>
      <c r="E5" s="16">
        <v>4969</v>
      </c>
    </row>
    <row r="6" spans="1:8" x14ac:dyDescent="0.75">
      <c r="A6" s="23" t="s">
        <v>14</v>
      </c>
      <c r="B6" s="27">
        <v>800</v>
      </c>
      <c r="C6" s="5"/>
      <c r="D6" s="6" t="s">
        <v>18</v>
      </c>
      <c r="E6" s="16">
        <v>1816</v>
      </c>
    </row>
    <row r="7" spans="1:8" x14ac:dyDescent="0.75">
      <c r="A7" s="13" t="s">
        <v>15</v>
      </c>
      <c r="B7" s="15">
        <v>500</v>
      </c>
      <c r="C7" s="5"/>
      <c r="D7" s="6" t="s">
        <v>118</v>
      </c>
      <c r="E7" s="16">
        <v>1845</v>
      </c>
    </row>
    <row r="8" spans="1:8" s="14" customFormat="1" x14ac:dyDescent="0.75">
      <c r="A8" s="6" t="s">
        <v>20</v>
      </c>
      <c r="B8" s="15">
        <v>500</v>
      </c>
      <c r="C8" s="18"/>
      <c r="D8" s="6"/>
      <c r="E8" s="15"/>
      <c r="H8" s="19"/>
    </row>
    <row r="9" spans="1:8" x14ac:dyDescent="0.75">
      <c r="A9" s="6" t="s">
        <v>16</v>
      </c>
      <c r="B9" s="15">
        <v>500</v>
      </c>
      <c r="C9" s="18"/>
      <c r="D9" s="6"/>
      <c r="E9" s="15"/>
    </row>
    <row r="10" spans="1:8" x14ac:dyDescent="0.75">
      <c r="A10" s="6" t="s">
        <v>107</v>
      </c>
      <c r="B10" s="15">
        <v>300</v>
      </c>
      <c r="C10" s="18"/>
      <c r="D10" s="6"/>
      <c r="E10" s="15"/>
      <c r="G10" s="1" t="s">
        <v>26</v>
      </c>
    </row>
    <row r="11" spans="1:8" x14ac:dyDescent="0.75">
      <c r="A11" s="6" t="s">
        <v>25</v>
      </c>
      <c r="B11" s="15">
        <v>1000</v>
      </c>
      <c r="C11" s="18"/>
      <c r="D11" s="6"/>
      <c r="E11" s="15"/>
    </row>
    <row r="12" spans="1:8" ht="25.8" thickBot="1" x14ac:dyDescent="0.8">
      <c r="A12" s="21" t="s">
        <v>2</v>
      </c>
      <c r="B12" s="20">
        <f>SUM(B4:B11)</f>
        <v>19052.5</v>
      </c>
      <c r="C12" s="17"/>
      <c r="D12" s="21" t="s">
        <v>3</v>
      </c>
      <c r="E12" s="43">
        <f>SUM(E4:E11)</f>
        <v>9630</v>
      </c>
    </row>
    <row r="13" spans="1:8" ht="25.8" thickTop="1" x14ac:dyDescent="0.75">
      <c r="A13" s="7"/>
      <c r="B13" s="12"/>
      <c r="C13" s="8"/>
      <c r="D13" s="7"/>
      <c r="E13" s="9"/>
    </row>
    <row r="14" spans="1:8" x14ac:dyDescent="0.75">
      <c r="A14" s="3"/>
      <c r="B14" s="3"/>
      <c r="C14" s="10"/>
      <c r="D14" s="3" t="s">
        <v>0</v>
      </c>
      <c r="E14" s="12">
        <v>19052.5</v>
      </c>
      <c r="G14" s="25"/>
    </row>
    <row r="15" spans="1:8" x14ac:dyDescent="0.75">
      <c r="A15" s="3"/>
      <c r="B15" s="3"/>
      <c r="C15" s="10"/>
      <c r="D15" s="3" t="s">
        <v>1</v>
      </c>
      <c r="E15" s="9">
        <v>9630</v>
      </c>
      <c r="G15" s="2"/>
    </row>
    <row r="16" spans="1:8" ht="25.8" thickBot="1" x14ac:dyDescent="0.8">
      <c r="A16" s="3"/>
      <c r="B16" s="3"/>
      <c r="C16" s="10"/>
      <c r="D16" s="24" t="s">
        <v>9</v>
      </c>
      <c r="E16" s="42">
        <f>SUM(E14-E15)</f>
        <v>9422.5</v>
      </c>
      <c r="G16" s="2"/>
    </row>
    <row r="17" spans="1:8" ht="25.8" thickTop="1" x14ac:dyDescent="0.75">
      <c r="A17" s="29"/>
      <c r="B17" s="29"/>
      <c r="C17" s="30"/>
      <c r="D17" s="31"/>
      <c r="E17" s="38"/>
    </row>
    <row r="18" spans="1:8" ht="27.6" x14ac:dyDescent="0.8">
      <c r="A18" s="29" t="s">
        <v>10</v>
      </c>
      <c r="B18" s="29"/>
      <c r="C18" s="30"/>
      <c r="D18" s="31" t="s">
        <v>19</v>
      </c>
      <c r="E18"/>
      <c r="H18" s="32"/>
    </row>
    <row r="19" spans="1:8" ht="21" customHeight="1" x14ac:dyDescent="0.75">
      <c r="A19" s="29" t="s">
        <v>21</v>
      </c>
      <c r="B19" s="29"/>
      <c r="C19" s="30"/>
      <c r="D19" s="41" t="s">
        <v>11</v>
      </c>
      <c r="E19"/>
    </row>
    <row r="20" spans="1:8" x14ac:dyDescent="0.75">
      <c r="A20" s="29"/>
      <c r="B20" s="29"/>
      <c r="C20" s="30"/>
      <c r="D20" s="44"/>
      <c r="E20"/>
      <c r="H20" s="2"/>
    </row>
    <row r="21" spans="1:8" ht="21" customHeight="1" x14ac:dyDescent="0.75">
      <c r="A21" s="73" t="s">
        <v>62</v>
      </c>
      <c r="B21" s="73"/>
      <c r="C21" s="30"/>
      <c r="D21" s="46" t="s">
        <v>61</v>
      </c>
      <c r="E21" s="39"/>
      <c r="H21" s="2"/>
    </row>
    <row r="22" spans="1:8" ht="20.25" customHeight="1" x14ac:dyDescent="0.75">
      <c r="A22" s="73" t="s">
        <v>63</v>
      </c>
      <c r="B22" s="73"/>
      <c r="C22" s="30"/>
      <c r="D22" s="48" t="s">
        <v>65</v>
      </c>
      <c r="E22" s="40"/>
      <c r="H22" s="2"/>
    </row>
    <row r="23" spans="1:8" ht="20.25" customHeight="1" x14ac:dyDescent="0.75">
      <c r="A23" s="74" t="s">
        <v>116</v>
      </c>
      <c r="B23" s="74"/>
      <c r="C23" s="30"/>
      <c r="D23" s="48" t="s">
        <v>116</v>
      </c>
      <c r="E23" s="41"/>
    </row>
    <row r="24" spans="1:8" ht="20.25" customHeight="1" x14ac:dyDescent="0.75">
      <c r="A24" s="3"/>
      <c r="B24" s="4"/>
      <c r="C24" s="67"/>
      <c r="D24" s="67"/>
      <c r="E24" s="67"/>
      <c r="H24" s="2"/>
    </row>
    <row r="25" spans="1:8" ht="20.25" customHeight="1" x14ac:dyDescent="0.75">
      <c r="A25" s="29" t="s">
        <v>29</v>
      </c>
      <c r="B25" s="11"/>
      <c r="C25" s="3"/>
      <c r="D25" s="68"/>
      <c r="E25" s="45"/>
      <c r="H25" s="2"/>
    </row>
    <row r="26" spans="1:8" x14ac:dyDescent="0.75">
      <c r="A26" s="73" t="s">
        <v>28</v>
      </c>
      <c r="B26" s="73"/>
      <c r="C26" s="3"/>
      <c r="D26" s="28"/>
      <c r="E26"/>
      <c r="H26" s="26"/>
    </row>
    <row r="27" spans="1:8" x14ac:dyDescent="0.75">
      <c r="A27" s="73" t="s">
        <v>27</v>
      </c>
      <c r="B27" s="73"/>
      <c r="C27" s="3"/>
      <c r="D27"/>
      <c r="E27" s="28"/>
      <c r="H27" s="26"/>
    </row>
    <row r="28" spans="1:8" x14ac:dyDescent="0.75">
      <c r="A28" s="74" t="s">
        <v>117</v>
      </c>
      <c r="B28" s="74"/>
      <c r="E28" s="2"/>
    </row>
    <row r="29" spans="1:8" x14ac:dyDescent="0.75">
      <c r="E29" s="4"/>
    </row>
    <row r="30" spans="1:8" x14ac:dyDescent="0.75">
      <c r="E30" s="4"/>
    </row>
  </sheetData>
  <mergeCells count="10">
    <mergeCell ref="A26:B26"/>
    <mergeCell ref="A27:B27"/>
    <mergeCell ref="A28:B28"/>
    <mergeCell ref="A22:B22"/>
    <mergeCell ref="A23:B23"/>
    <mergeCell ref="A1:E1"/>
    <mergeCell ref="A2:E2"/>
    <mergeCell ref="A3:B3"/>
    <mergeCell ref="C3:E3"/>
    <mergeCell ref="A21:B21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FF4C-3CCE-49E5-BC79-5EBBC13A1AE8}">
  <dimension ref="A1:H30"/>
  <sheetViews>
    <sheetView topLeftCell="A13" workbookViewId="0">
      <selection activeCell="A17" sqref="A17:D27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1.59765625" style="1" customWidth="1"/>
    <col min="6" max="6" width="14.69921875" style="1" customWidth="1"/>
    <col min="7" max="7" width="11" style="1" bestFit="1" customWidth="1"/>
    <col min="8" max="8" width="14.09765625" style="1" customWidth="1"/>
    <col min="9" max="9" width="10.8984375" style="1" customWidth="1"/>
    <col min="10" max="16384" width="9" style="1"/>
  </cols>
  <sheetData>
    <row r="1" spans="1:8" x14ac:dyDescent="0.75">
      <c r="A1" s="75" t="s">
        <v>4</v>
      </c>
      <c r="B1" s="75"/>
      <c r="C1" s="75"/>
      <c r="D1" s="75"/>
      <c r="E1" s="75"/>
    </row>
    <row r="2" spans="1:8" x14ac:dyDescent="0.75">
      <c r="A2" s="75" t="s">
        <v>115</v>
      </c>
      <c r="B2" s="75"/>
      <c r="C2" s="75"/>
      <c r="D2" s="75"/>
      <c r="E2" s="75"/>
    </row>
    <row r="3" spans="1:8" x14ac:dyDescent="0.75">
      <c r="A3" s="76" t="s">
        <v>0</v>
      </c>
      <c r="B3" s="77"/>
      <c r="C3" s="76" t="s">
        <v>1</v>
      </c>
      <c r="D3" s="78"/>
      <c r="E3" s="77"/>
    </row>
    <row r="4" spans="1:8" x14ac:dyDescent="0.75">
      <c r="A4" s="22" t="s">
        <v>5</v>
      </c>
      <c r="B4" s="15">
        <v>9422.5</v>
      </c>
      <c r="C4" s="5" t="s">
        <v>114</v>
      </c>
      <c r="D4" s="6" t="s">
        <v>17</v>
      </c>
      <c r="E4" s="16">
        <v>1000</v>
      </c>
    </row>
    <row r="5" spans="1:8" s="37" customFormat="1" x14ac:dyDescent="0.75">
      <c r="A5" s="33" t="s">
        <v>12</v>
      </c>
      <c r="B5" s="34">
        <v>2500</v>
      </c>
      <c r="C5" s="5" t="s">
        <v>119</v>
      </c>
      <c r="D5" s="33" t="s">
        <v>18</v>
      </c>
      <c r="E5" s="36">
        <v>1788</v>
      </c>
    </row>
    <row r="6" spans="1:8" x14ac:dyDescent="0.75">
      <c r="A6" s="23" t="s">
        <v>14</v>
      </c>
      <c r="B6" s="15">
        <v>800</v>
      </c>
      <c r="C6" s="35" t="s">
        <v>121</v>
      </c>
      <c r="D6" s="33" t="s">
        <v>120</v>
      </c>
      <c r="E6" s="36">
        <v>559</v>
      </c>
    </row>
    <row r="7" spans="1:8" x14ac:dyDescent="0.75">
      <c r="A7" s="13" t="s">
        <v>15</v>
      </c>
      <c r="B7" s="27">
        <v>500</v>
      </c>
      <c r="C7" s="5" t="s">
        <v>121</v>
      </c>
      <c r="D7" s="6" t="s">
        <v>122</v>
      </c>
      <c r="E7" s="16">
        <v>51</v>
      </c>
    </row>
    <row r="8" spans="1:8" s="14" customFormat="1" ht="50.4" x14ac:dyDescent="0.75">
      <c r="A8" s="6" t="s">
        <v>20</v>
      </c>
      <c r="B8" s="15">
        <v>500</v>
      </c>
      <c r="C8" s="35" t="s">
        <v>123</v>
      </c>
      <c r="D8" s="66" t="s">
        <v>129</v>
      </c>
      <c r="E8" s="16">
        <v>2000</v>
      </c>
      <c r="H8" s="19"/>
    </row>
    <row r="9" spans="1:8" x14ac:dyDescent="0.75">
      <c r="A9" s="6" t="s">
        <v>16</v>
      </c>
      <c r="B9" s="15">
        <v>500</v>
      </c>
      <c r="C9" s="18" t="s">
        <v>124</v>
      </c>
      <c r="D9" s="6" t="s">
        <v>32</v>
      </c>
      <c r="E9" s="15">
        <v>200</v>
      </c>
    </row>
    <row r="10" spans="1:8" x14ac:dyDescent="0.75">
      <c r="A10" s="6" t="s">
        <v>107</v>
      </c>
      <c r="B10" s="15">
        <v>300</v>
      </c>
      <c r="C10" s="18"/>
      <c r="D10" s="6"/>
      <c r="E10" s="15"/>
      <c r="G10" s="1" t="s">
        <v>26</v>
      </c>
    </row>
    <row r="11" spans="1:8" x14ac:dyDescent="0.75">
      <c r="A11" s="6" t="s">
        <v>25</v>
      </c>
      <c r="B11" s="15">
        <v>1000</v>
      </c>
      <c r="C11" s="18"/>
      <c r="D11" s="6"/>
      <c r="E11" s="15"/>
    </row>
    <row r="12" spans="1:8" ht="25.8" thickBot="1" x14ac:dyDescent="0.8">
      <c r="A12" s="21" t="s">
        <v>2</v>
      </c>
      <c r="B12" s="20">
        <f>SUM(B4:B11)</f>
        <v>15522.5</v>
      </c>
      <c r="C12" s="17"/>
      <c r="D12" s="21" t="s">
        <v>3</v>
      </c>
      <c r="E12" s="43">
        <f>SUM(E4:E11)</f>
        <v>5598</v>
      </c>
    </row>
    <row r="13" spans="1:8" ht="25.8" thickTop="1" x14ac:dyDescent="0.75">
      <c r="A13" s="7"/>
      <c r="B13" s="12"/>
      <c r="C13" s="8"/>
      <c r="D13" s="7"/>
      <c r="E13" s="9"/>
    </row>
    <row r="14" spans="1:8" x14ac:dyDescent="0.75">
      <c r="A14" s="3"/>
      <c r="B14" s="3"/>
      <c r="C14" s="10"/>
      <c r="D14" s="3" t="s">
        <v>0</v>
      </c>
      <c r="E14" s="12">
        <v>15522.5</v>
      </c>
      <c r="G14" s="25"/>
    </row>
    <row r="15" spans="1:8" x14ac:dyDescent="0.75">
      <c r="A15" s="3"/>
      <c r="B15" s="3"/>
      <c r="C15" s="10"/>
      <c r="D15" s="3" t="s">
        <v>1</v>
      </c>
      <c r="E15" s="9">
        <v>5598</v>
      </c>
      <c r="G15" s="2"/>
    </row>
    <row r="16" spans="1:8" ht="25.8" thickBot="1" x14ac:dyDescent="0.8">
      <c r="A16" s="3"/>
      <c r="B16" s="3"/>
      <c r="C16" s="10"/>
      <c r="D16" s="24" t="s">
        <v>9</v>
      </c>
      <c r="E16" s="42">
        <f>SUM(E14-E15)</f>
        <v>9924.5</v>
      </c>
      <c r="G16" s="2"/>
    </row>
    <row r="17" spans="1:8" ht="25.8" thickTop="1" x14ac:dyDescent="0.75">
      <c r="A17" s="29" t="s">
        <v>10</v>
      </c>
      <c r="B17" s="29"/>
      <c r="C17" s="30"/>
      <c r="D17" s="31" t="s">
        <v>19</v>
      </c>
      <c r="E17"/>
    </row>
    <row r="18" spans="1:8" ht="27.6" x14ac:dyDescent="0.8">
      <c r="A18" s="29" t="s">
        <v>21</v>
      </c>
      <c r="B18" s="29"/>
      <c r="C18" s="30"/>
      <c r="D18" s="41" t="s">
        <v>11</v>
      </c>
      <c r="E18"/>
      <c r="H18" s="32"/>
    </row>
    <row r="19" spans="1:8" ht="21" customHeight="1" x14ac:dyDescent="0.75">
      <c r="A19" s="29"/>
      <c r="B19" s="29"/>
      <c r="C19" s="30"/>
      <c r="D19" s="44"/>
      <c r="E19"/>
    </row>
    <row r="20" spans="1:8" x14ac:dyDescent="0.75">
      <c r="A20" s="73" t="s">
        <v>62</v>
      </c>
      <c r="B20" s="73"/>
      <c r="C20" s="30"/>
      <c r="D20" s="46" t="s">
        <v>61</v>
      </c>
      <c r="E20" s="39"/>
      <c r="H20" s="2"/>
    </row>
    <row r="21" spans="1:8" ht="21" customHeight="1" x14ac:dyDescent="0.75">
      <c r="A21" s="73" t="s">
        <v>63</v>
      </c>
      <c r="B21" s="73"/>
      <c r="C21" s="30"/>
      <c r="D21" s="48" t="s">
        <v>65</v>
      </c>
      <c r="E21" s="40"/>
      <c r="H21" s="2"/>
    </row>
    <row r="22" spans="1:8" ht="20.25" customHeight="1" x14ac:dyDescent="0.75">
      <c r="A22" s="74" t="s">
        <v>125</v>
      </c>
      <c r="B22" s="74"/>
      <c r="C22" s="30"/>
      <c r="D22" s="48" t="s">
        <v>125</v>
      </c>
      <c r="E22" s="41"/>
      <c r="H22" s="2"/>
    </row>
    <row r="23" spans="1:8" ht="20.25" customHeight="1" x14ac:dyDescent="0.75">
      <c r="A23" s="3"/>
      <c r="B23" s="4"/>
      <c r="C23" s="69"/>
      <c r="D23" s="69"/>
      <c r="E23" s="69"/>
    </row>
    <row r="24" spans="1:8" ht="20.25" customHeight="1" x14ac:dyDescent="0.75">
      <c r="A24" s="29"/>
      <c r="B24" s="11"/>
      <c r="C24" s="3"/>
      <c r="D24" s="70"/>
      <c r="E24" s="45"/>
      <c r="H24" s="2"/>
    </row>
    <row r="25" spans="1:8" ht="20.25" customHeight="1" x14ac:dyDescent="0.75">
      <c r="A25" s="73" t="s">
        <v>127</v>
      </c>
      <c r="B25" s="73"/>
      <c r="C25" s="3"/>
      <c r="D25" s="28"/>
      <c r="E25"/>
      <c r="H25" s="2"/>
    </row>
    <row r="26" spans="1:8" x14ac:dyDescent="0.75">
      <c r="A26" s="73" t="s">
        <v>8</v>
      </c>
      <c r="B26" s="73"/>
      <c r="C26" s="3"/>
      <c r="D26"/>
      <c r="E26" s="28"/>
      <c r="H26" s="26"/>
    </row>
    <row r="27" spans="1:8" x14ac:dyDescent="0.75">
      <c r="A27" s="74" t="s">
        <v>126</v>
      </c>
      <c r="B27" s="74"/>
      <c r="E27" s="2"/>
      <c r="H27" s="26"/>
    </row>
    <row r="28" spans="1:8" x14ac:dyDescent="0.75">
      <c r="A28" s="74"/>
      <c r="B28" s="74"/>
      <c r="E28" s="2"/>
    </row>
    <row r="29" spans="1:8" x14ac:dyDescent="0.75">
      <c r="E29" s="4"/>
    </row>
    <row r="30" spans="1:8" x14ac:dyDescent="0.75">
      <c r="E30" s="4"/>
    </row>
  </sheetData>
  <mergeCells count="11">
    <mergeCell ref="A28:B28"/>
    <mergeCell ref="A1:E1"/>
    <mergeCell ref="A2:E2"/>
    <mergeCell ref="A3:B3"/>
    <mergeCell ref="C3:E3"/>
    <mergeCell ref="A21:B21"/>
    <mergeCell ref="A22:B22"/>
    <mergeCell ref="A26:B26"/>
    <mergeCell ref="A27:B27"/>
    <mergeCell ref="A20:B20"/>
    <mergeCell ref="A25:B25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2CF0-BC9C-404C-AD9F-56573413E2FC}">
  <dimension ref="A1:I32"/>
  <sheetViews>
    <sheetView topLeftCell="A13" workbookViewId="0">
      <selection activeCell="D20" sqref="D20:D21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1.59765625" style="1" customWidth="1"/>
    <col min="6" max="6" width="14.69921875" style="1" customWidth="1"/>
    <col min="7" max="7" width="11" style="1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9" t="s">
        <v>128</v>
      </c>
      <c r="B2" s="79"/>
      <c r="C2" s="79"/>
      <c r="D2" s="79"/>
      <c r="E2" s="79"/>
    </row>
    <row r="3" spans="1:9" x14ac:dyDescent="0.75">
      <c r="A3" s="76" t="s">
        <v>0</v>
      </c>
      <c r="B3" s="77"/>
      <c r="C3" s="76" t="s">
        <v>1</v>
      </c>
      <c r="D3" s="78"/>
      <c r="E3" s="77"/>
    </row>
    <row r="4" spans="1:9" x14ac:dyDescent="0.75">
      <c r="A4" s="22" t="s">
        <v>5</v>
      </c>
      <c r="B4" s="15">
        <v>9924.5</v>
      </c>
      <c r="C4" s="5" t="s">
        <v>130</v>
      </c>
      <c r="D4" s="6" t="s">
        <v>17</v>
      </c>
      <c r="E4" s="16">
        <v>1000</v>
      </c>
    </row>
    <row r="5" spans="1:9" s="37" customFormat="1" x14ac:dyDescent="0.75">
      <c r="A5" s="33" t="s">
        <v>12</v>
      </c>
      <c r="B5" s="34">
        <v>2500</v>
      </c>
      <c r="C5" s="5" t="s">
        <v>136</v>
      </c>
      <c r="D5" s="33" t="s">
        <v>122</v>
      </c>
      <c r="E5" s="36">
        <v>542</v>
      </c>
    </row>
    <row r="6" spans="1:9" x14ac:dyDescent="0.75">
      <c r="A6" s="23" t="s">
        <v>14</v>
      </c>
      <c r="B6" s="15">
        <v>800</v>
      </c>
      <c r="C6" s="5" t="s">
        <v>131</v>
      </c>
      <c r="D6" s="33" t="s">
        <v>18</v>
      </c>
      <c r="E6" s="36">
        <v>1640</v>
      </c>
    </row>
    <row r="7" spans="1:9" x14ac:dyDescent="0.75">
      <c r="A7" s="13" t="s">
        <v>15</v>
      </c>
      <c r="B7" s="27">
        <v>500</v>
      </c>
      <c r="C7" s="35" t="s">
        <v>132</v>
      </c>
      <c r="D7" s="33" t="s">
        <v>133</v>
      </c>
      <c r="E7" s="36">
        <v>115</v>
      </c>
    </row>
    <row r="8" spans="1:9" x14ac:dyDescent="0.75">
      <c r="A8" s="6" t="s">
        <v>20</v>
      </c>
      <c r="B8" s="15">
        <v>500</v>
      </c>
      <c r="C8" s="35"/>
      <c r="D8" s="66"/>
      <c r="E8" s="16"/>
    </row>
    <row r="9" spans="1:9" s="14" customFormat="1" x14ac:dyDescent="0.75">
      <c r="A9" s="6" t="s">
        <v>16</v>
      </c>
      <c r="B9" s="15">
        <v>500</v>
      </c>
      <c r="C9" s="18"/>
      <c r="D9" s="6"/>
      <c r="E9" s="15"/>
      <c r="H9" s="19"/>
    </row>
    <row r="10" spans="1:9" x14ac:dyDescent="0.75">
      <c r="A10" s="6" t="s">
        <v>107</v>
      </c>
      <c r="B10" s="15">
        <v>300</v>
      </c>
      <c r="C10" s="18"/>
      <c r="D10" s="6"/>
      <c r="E10" s="15"/>
    </row>
    <row r="11" spans="1:9" x14ac:dyDescent="0.75">
      <c r="A11" s="6" t="s">
        <v>25</v>
      </c>
      <c r="B11" s="15">
        <v>1000</v>
      </c>
      <c r="C11" s="18"/>
      <c r="D11" s="6"/>
      <c r="E11" s="15"/>
      <c r="G11" s="1" t="s">
        <v>26</v>
      </c>
    </row>
    <row r="12" spans="1:9" ht="25.8" thickBot="1" x14ac:dyDescent="0.8">
      <c r="A12" s="21" t="s">
        <v>2</v>
      </c>
      <c r="B12" s="20">
        <f>SUM(B4:B11)</f>
        <v>16024.5</v>
      </c>
      <c r="C12" s="17"/>
      <c r="D12" s="21" t="s">
        <v>3</v>
      </c>
      <c r="E12" s="43">
        <f>SUM(E4:E11)</f>
        <v>3297</v>
      </c>
    </row>
    <row r="13" spans="1:9" ht="25.8" thickTop="1" x14ac:dyDescent="0.75">
      <c r="A13" s="7"/>
      <c r="B13" s="12"/>
      <c r="C13" s="8"/>
      <c r="D13" s="7"/>
      <c r="E13" s="9"/>
    </row>
    <row r="14" spans="1:9" x14ac:dyDescent="0.75">
      <c r="A14" s="3"/>
      <c r="B14" s="3"/>
      <c r="C14" s="10"/>
      <c r="D14" s="3" t="s">
        <v>0</v>
      </c>
      <c r="E14" s="12">
        <v>16024.5</v>
      </c>
    </row>
    <row r="15" spans="1:9" x14ac:dyDescent="0.75">
      <c r="A15" s="3"/>
      <c r="B15" s="3"/>
      <c r="C15" s="10"/>
      <c r="D15" s="3" t="s">
        <v>1</v>
      </c>
      <c r="E15" s="9">
        <v>3297</v>
      </c>
    </row>
    <row r="16" spans="1:9" ht="25.8" thickBot="1" x14ac:dyDescent="0.8">
      <c r="A16" s="3"/>
      <c r="B16" s="3"/>
      <c r="C16" s="10"/>
      <c r="D16" s="24" t="s">
        <v>9</v>
      </c>
      <c r="E16" s="42">
        <f>SUM(E14-E15)</f>
        <v>12727.5</v>
      </c>
      <c r="G16" s="25"/>
      <c r="I16" s="1" t="s">
        <v>26</v>
      </c>
    </row>
    <row r="17" spans="1:8" ht="25.8" thickTop="1" x14ac:dyDescent="0.75">
      <c r="A17" s="29" t="s">
        <v>10</v>
      </c>
      <c r="B17" s="29"/>
      <c r="C17" s="30"/>
      <c r="D17" s="31" t="s">
        <v>19</v>
      </c>
      <c r="E17"/>
      <c r="G17" s="2"/>
    </row>
    <row r="18" spans="1:8" x14ac:dyDescent="0.75">
      <c r="A18" s="29" t="s">
        <v>21</v>
      </c>
      <c r="B18" s="29"/>
      <c r="C18" s="30"/>
      <c r="D18" s="41" t="s">
        <v>11</v>
      </c>
      <c r="E18"/>
      <c r="G18" s="2"/>
    </row>
    <row r="19" spans="1:8" x14ac:dyDescent="0.75">
      <c r="A19" s="29"/>
      <c r="B19" s="29"/>
      <c r="C19" s="30"/>
      <c r="D19" s="44"/>
      <c r="E19"/>
    </row>
    <row r="20" spans="1:8" ht="27.6" x14ac:dyDescent="0.8">
      <c r="A20" s="73" t="s">
        <v>62</v>
      </c>
      <c r="B20" s="73"/>
      <c r="C20" s="30"/>
      <c r="D20" s="46" t="s">
        <v>61</v>
      </c>
      <c r="E20" s="39"/>
      <c r="H20" s="32"/>
    </row>
    <row r="21" spans="1:8" ht="21" customHeight="1" x14ac:dyDescent="0.75">
      <c r="A21" s="73" t="s">
        <v>63</v>
      </c>
      <c r="B21" s="73"/>
      <c r="C21" s="30"/>
      <c r="D21" s="48" t="s">
        <v>65</v>
      </c>
      <c r="E21" s="40"/>
    </row>
    <row r="22" spans="1:8" x14ac:dyDescent="0.75">
      <c r="A22" s="74" t="s">
        <v>134</v>
      </c>
      <c r="B22" s="74"/>
      <c r="C22" s="30"/>
      <c r="D22" s="48" t="s">
        <v>135</v>
      </c>
      <c r="E22" s="41"/>
      <c r="H22" s="2"/>
    </row>
    <row r="23" spans="1:8" ht="21" customHeight="1" x14ac:dyDescent="0.75">
      <c r="A23" s="3"/>
      <c r="B23" s="4"/>
      <c r="C23" s="71"/>
      <c r="D23" s="71"/>
      <c r="E23" s="71"/>
      <c r="H23" s="2"/>
    </row>
    <row r="24" spans="1:8" ht="20.25" customHeight="1" x14ac:dyDescent="0.75">
      <c r="A24" s="29"/>
      <c r="B24" s="11"/>
      <c r="C24" s="3"/>
      <c r="D24" s="72"/>
      <c r="E24" s="45"/>
      <c r="H24" s="2"/>
    </row>
    <row r="25" spans="1:8" ht="20.25" customHeight="1" x14ac:dyDescent="0.75">
      <c r="A25" s="73" t="s">
        <v>127</v>
      </c>
      <c r="B25" s="73"/>
      <c r="C25" s="3"/>
      <c r="D25" s="28"/>
      <c r="E25"/>
    </row>
    <row r="26" spans="1:8" ht="20.25" customHeight="1" x14ac:dyDescent="0.75">
      <c r="A26" s="73" t="s">
        <v>8</v>
      </c>
      <c r="B26" s="73"/>
      <c r="C26" s="3"/>
      <c r="D26"/>
      <c r="E26" s="28"/>
      <c r="H26" s="2"/>
    </row>
    <row r="27" spans="1:8" ht="20.25" customHeight="1" x14ac:dyDescent="0.75">
      <c r="A27" s="74" t="s">
        <v>135</v>
      </c>
      <c r="B27" s="74"/>
      <c r="E27" s="2"/>
      <c r="H27" s="2"/>
    </row>
    <row r="28" spans="1:8" x14ac:dyDescent="0.75">
      <c r="A28" s="74"/>
      <c r="B28" s="74"/>
      <c r="E28" s="2"/>
      <c r="H28" s="26"/>
    </row>
    <row r="29" spans="1:8" x14ac:dyDescent="0.75">
      <c r="A29" s="73"/>
      <c r="B29" s="73"/>
      <c r="C29" s="3"/>
      <c r="D29"/>
      <c r="E29" s="28"/>
      <c r="H29" s="26"/>
    </row>
    <row r="30" spans="1:8" x14ac:dyDescent="0.75">
      <c r="A30" s="74"/>
      <c r="B30" s="74"/>
      <c r="E30" s="2"/>
    </row>
    <row r="31" spans="1:8" x14ac:dyDescent="0.75">
      <c r="E31" s="4"/>
    </row>
    <row r="32" spans="1:8" x14ac:dyDescent="0.75">
      <c r="E32" s="4"/>
    </row>
  </sheetData>
  <mergeCells count="13">
    <mergeCell ref="A26:B26"/>
    <mergeCell ref="A27:B27"/>
    <mergeCell ref="A30:B30"/>
    <mergeCell ref="A1:E1"/>
    <mergeCell ref="A2:E2"/>
    <mergeCell ref="A3:B3"/>
    <mergeCell ref="C3:E3"/>
    <mergeCell ref="A25:B25"/>
    <mergeCell ref="A28:B28"/>
    <mergeCell ref="A29:B29"/>
    <mergeCell ref="A20:B20"/>
    <mergeCell ref="A21:B21"/>
    <mergeCell ref="A22:B22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BC5C-2038-42ED-BC1E-5CB74375614E}">
  <dimension ref="A1:I32"/>
  <sheetViews>
    <sheetView topLeftCell="A17" workbookViewId="0">
      <selection activeCell="A19" sqref="A19:E30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1.59765625" style="1" customWidth="1"/>
    <col min="6" max="6" width="14.69921875" style="1" customWidth="1"/>
    <col min="7" max="7" width="11" style="1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9" t="s">
        <v>137</v>
      </c>
      <c r="B2" s="79"/>
      <c r="C2" s="79"/>
      <c r="D2" s="79"/>
      <c r="E2" s="79"/>
    </row>
    <row r="3" spans="1:9" x14ac:dyDescent="0.75">
      <c r="A3" s="76" t="s">
        <v>0</v>
      </c>
      <c r="B3" s="77"/>
      <c r="C3" s="76" t="s">
        <v>1</v>
      </c>
      <c r="D3" s="78"/>
      <c r="E3" s="77"/>
    </row>
    <row r="4" spans="1:9" x14ac:dyDescent="0.75">
      <c r="A4" s="22" t="s">
        <v>5</v>
      </c>
      <c r="B4" s="15">
        <v>12727.5</v>
      </c>
      <c r="C4" s="5" t="s">
        <v>139</v>
      </c>
      <c r="D4" s="6" t="s">
        <v>17</v>
      </c>
      <c r="E4" s="16">
        <v>1000</v>
      </c>
    </row>
    <row r="5" spans="1:9" s="37" customFormat="1" x14ac:dyDescent="0.75">
      <c r="A5" s="33" t="s">
        <v>12</v>
      </c>
      <c r="B5" s="34">
        <v>2500</v>
      </c>
      <c r="C5" s="5"/>
      <c r="D5" s="33" t="s">
        <v>138</v>
      </c>
      <c r="E5" s="36">
        <v>276</v>
      </c>
    </row>
    <row r="6" spans="1:9" x14ac:dyDescent="0.75">
      <c r="A6" s="23" t="s">
        <v>14</v>
      </c>
      <c r="B6" s="15">
        <v>800</v>
      </c>
      <c r="C6" s="5"/>
      <c r="D6" s="33" t="s">
        <v>18</v>
      </c>
      <c r="E6" s="36">
        <v>1530</v>
      </c>
    </row>
    <row r="7" spans="1:9" x14ac:dyDescent="0.75">
      <c r="A7" s="13" t="s">
        <v>15</v>
      </c>
      <c r="B7" s="27">
        <v>500</v>
      </c>
      <c r="C7" s="35"/>
      <c r="D7" s="33"/>
      <c r="E7" s="36"/>
    </row>
    <row r="8" spans="1:9" x14ac:dyDescent="0.75">
      <c r="A8" s="6" t="s">
        <v>20</v>
      </c>
      <c r="B8" s="15">
        <v>500</v>
      </c>
      <c r="C8" s="35"/>
      <c r="D8" s="66"/>
      <c r="E8" s="16"/>
    </row>
    <row r="9" spans="1:9" s="14" customFormat="1" x14ac:dyDescent="0.75">
      <c r="A9" s="6" t="s">
        <v>16</v>
      </c>
      <c r="B9" s="15">
        <v>500</v>
      </c>
      <c r="C9" s="18"/>
      <c r="D9" s="6"/>
      <c r="E9" s="15"/>
      <c r="H9" s="19"/>
    </row>
    <row r="10" spans="1:9" x14ac:dyDescent="0.75">
      <c r="A10" s="6" t="s">
        <v>107</v>
      </c>
      <c r="B10" s="15">
        <v>300</v>
      </c>
      <c r="C10" s="18"/>
      <c r="D10" s="6"/>
      <c r="E10" s="15"/>
    </row>
    <row r="11" spans="1:9" x14ac:dyDescent="0.75">
      <c r="A11" s="6" t="s">
        <v>25</v>
      </c>
      <c r="B11" s="15">
        <v>1000</v>
      </c>
      <c r="C11" s="18"/>
      <c r="D11" s="6"/>
      <c r="E11" s="15"/>
      <c r="G11" s="1" t="s">
        <v>26</v>
      </c>
    </row>
    <row r="12" spans="1:9" ht="25.8" thickBot="1" x14ac:dyDescent="0.8">
      <c r="A12" s="21" t="s">
        <v>2</v>
      </c>
      <c r="B12" s="20">
        <f>SUM(B4:B11)</f>
        <v>18827.5</v>
      </c>
      <c r="C12" s="17"/>
      <c r="D12" s="21" t="s">
        <v>3</v>
      </c>
      <c r="E12" s="43">
        <f>SUM(E4:E11)</f>
        <v>2806</v>
      </c>
    </row>
    <row r="13" spans="1:9" ht="25.8" thickTop="1" x14ac:dyDescent="0.75">
      <c r="A13" s="7"/>
      <c r="B13" s="12"/>
      <c r="C13" s="8"/>
      <c r="D13" s="7"/>
      <c r="E13" s="9"/>
    </row>
    <row r="14" spans="1:9" x14ac:dyDescent="0.75">
      <c r="A14" s="3"/>
      <c r="B14" s="3"/>
      <c r="C14" s="10"/>
      <c r="D14" s="3" t="s">
        <v>0</v>
      </c>
      <c r="E14" s="12">
        <v>18827.5</v>
      </c>
    </row>
    <row r="15" spans="1:9" x14ac:dyDescent="0.75">
      <c r="A15" s="3"/>
      <c r="B15" s="3"/>
      <c r="C15" s="10"/>
      <c r="D15" s="3" t="s">
        <v>1</v>
      </c>
      <c r="E15" s="9">
        <v>2806</v>
      </c>
    </row>
    <row r="16" spans="1:9" ht="25.8" thickBot="1" x14ac:dyDescent="0.8">
      <c r="A16" s="3"/>
      <c r="B16" s="3"/>
      <c r="C16" s="10"/>
      <c r="D16" s="24" t="s">
        <v>9</v>
      </c>
      <c r="E16" s="42">
        <f>SUM(E14-E15)</f>
        <v>16021.5</v>
      </c>
      <c r="G16" s="25"/>
      <c r="I16" s="1" t="s">
        <v>26</v>
      </c>
    </row>
    <row r="17" spans="1:8" ht="25.8" thickTop="1" x14ac:dyDescent="0.75">
      <c r="A17" s="3"/>
      <c r="B17" s="3"/>
      <c r="C17" s="10"/>
      <c r="D17" s="3"/>
      <c r="E17" s="12"/>
      <c r="G17" s="2"/>
    </row>
    <row r="18" spans="1:8" ht="25.8" thickBot="1" x14ac:dyDescent="0.8">
      <c r="A18" s="3"/>
      <c r="B18" s="3"/>
      <c r="C18" s="10"/>
      <c r="D18" s="24"/>
      <c r="E18" s="42"/>
      <c r="G18" s="2"/>
    </row>
    <row r="19" spans="1:8" ht="25.8" thickTop="1" x14ac:dyDescent="0.75">
      <c r="A19" s="29" t="s">
        <v>6</v>
      </c>
      <c r="B19" s="29"/>
      <c r="C19" s="30"/>
      <c r="D19" s="31"/>
      <c r="E19" s="38"/>
    </row>
    <row r="20" spans="1:8" ht="27.6" x14ac:dyDescent="0.8">
      <c r="A20" s="29" t="s">
        <v>10</v>
      </c>
      <c r="B20" s="29"/>
      <c r="C20" s="30"/>
      <c r="D20" s="31" t="s">
        <v>19</v>
      </c>
      <c r="E20"/>
      <c r="H20" s="32"/>
    </row>
    <row r="21" spans="1:8" ht="21" customHeight="1" x14ac:dyDescent="0.75">
      <c r="A21" s="29" t="s">
        <v>21</v>
      </c>
      <c r="B21" s="29"/>
      <c r="C21" s="30"/>
      <c r="D21" s="41" t="s">
        <v>11</v>
      </c>
      <c r="E21"/>
    </row>
    <row r="22" spans="1:8" x14ac:dyDescent="0.75">
      <c r="A22" s="29"/>
      <c r="B22" s="29"/>
      <c r="C22" s="30"/>
      <c r="D22" s="44"/>
      <c r="E22"/>
      <c r="H22" s="2"/>
    </row>
    <row r="23" spans="1:8" ht="21" customHeight="1" x14ac:dyDescent="0.75">
      <c r="A23" s="73" t="s">
        <v>62</v>
      </c>
      <c r="B23" s="73"/>
      <c r="C23" s="30"/>
      <c r="D23" s="46" t="s">
        <v>140</v>
      </c>
      <c r="E23" s="39"/>
      <c r="H23" s="2"/>
    </row>
    <row r="24" spans="1:8" ht="20.25" customHeight="1" x14ac:dyDescent="0.75">
      <c r="A24" s="73" t="s">
        <v>63</v>
      </c>
      <c r="B24" s="73"/>
      <c r="C24" s="73" t="s">
        <v>23</v>
      </c>
      <c r="D24" s="73"/>
      <c r="E24" s="73"/>
      <c r="H24" s="2"/>
    </row>
    <row r="25" spans="1:8" ht="20.25" customHeight="1" x14ac:dyDescent="0.75">
      <c r="A25" s="74" t="s">
        <v>141</v>
      </c>
      <c r="B25" s="74"/>
      <c r="C25" s="30"/>
      <c r="D25" s="48" t="s">
        <v>143</v>
      </c>
      <c r="E25" s="41"/>
    </row>
    <row r="26" spans="1:8" ht="20.25" customHeight="1" x14ac:dyDescent="0.75">
      <c r="A26" s="3"/>
      <c r="B26" s="4"/>
      <c r="C26" s="73"/>
      <c r="D26" s="73"/>
      <c r="E26" s="73"/>
      <c r="H26" s="2"/>
    </row>
    <row r="27" spans="1:8" ht="20.25" customHeight="1" x14ac:dyDescent="0.75">
      <c r="A27" s="29"/>
      <c r="B27" s="11"/>
      <c r="C27" s="74"/>
      <c r="D27" s="74"/>
      <c r="E27" s="74"/>
      <c r="H27" s="2"/>
    </row>
    <row r="28" spans="1:8" x14ac:dyDescent="0.75">
      <c r="A28" s="73" t="s">
        <v>127</v>
      </c>
      <c r="B28" s="73"/>
      <c r="C28" s="3"/>
      <c r="D28" s="28"/>
      <c r="E28"/>
      <c r="H28" s="26"/>
    </row>
    <row r="29" spans="1:8" x14ac:dyDescent="0.75">
      <c r="A29" s="73" t="s">
        <v>8</v>
      </c>
      <c r="B29" s="73"/>
      <c r="C29" s="3"/>
      <c r="D29"/>
      <c r="E29" s="28"/>
      <c r="H29" s="26"/>
    </row>
    <row r="30" spans="1:8" x14ac:dyDescent="0.75">
      <c r="A30" s="74" t="s">
        <v>142</v>
      </c>
      <c r="B30" s="74"/>
      <c r="E30" s="2"/>
    </row>
    <row r="31" spans="1:8" x14ac:dyDescent="0.75">
      <c r="E31" s="4"/>
    </row>
    <row r="32" spans="1:8" x14ac:dyDescent="0.75">
      <c r="E32" s="4"/>
    </row>
  </sheetData>
  <mergeCells count="13">
    <mergeCell ref="A30:B30"/>
    <mergeCell ref="A1:E1"/>
    <mergeCell ref="A2:E2"/>
    <mergeCell ref="A3:B3"/>
    <mergeCell ref="C3:E3"/>
    <mergeCell ref="A23:B23"/>
    <mergeCell ref="A24:B24"/>
    <mergeCell ref="C24:E24"/>
    <mergeCell ref="A25:B25"/>
    <mergeCell ref="C26:E26"/>
    <mergeCell ref="C27:E27"/>
    <mergeCell ref="A28:B28"/>
    <mergeCell ref="A29:B29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A2B2-AD7A-4302-8B29-F3F181CACB1B}">
  <dimension ref="A1:I30"/>
  <sheetViews>
    <sheetView tabSelected="1" workbookViewId="0">
      <selection activeCell="E5" sqref="E5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1.59765625" style="1" customWidth="1"/>
    <col min="6" max="6" width="14.69921875" style="1" customWidth="1"/>
    <col min="7" max="7" width="11" style="1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5" t="s">
        <v>150</v>
      </c>
      <c r="B2" s="75"/>
      <c r="C2" s="75"/>
      <c r="D2" s="75"/>
      <c r="E2" s="75"/>
    </row>
    <row r="3" spans="1:9" x14ac:dyDescent="0.75">
      <c r="A3" s="76" t="s">
        <v>0</v>
      </c>
      <c r="B3" s="77"/>
      <c r="C3" s="76" t="s">
        <v>1</v>
      </c>
      <c r="D3" s="78"/>
      <c r="E3" s="77"/>
    </row>
    <row r="4" spans="1:9" x14ac:dyDescent="0.75">
      <c r="A4" s="22" t="s">
        <v>5</v>
      </c>
      <c r="B4" s="15">
        <v>16024.5</v>
      </c>
      <c r="C4" s="5" t="s">
        <v>148</v>
      </c>
      <c r="D4" s="6" t="s">
        <v>17</v>
      </c>
      <c r="E4" s="16">
        <v>1000</v>
      </c>
    </row>
    <row r="5" spans="1:9" s="37" customFormat="1" x14ac:dyDescent="0.75">
      <c r="A5" s="33" t="s">
        <v>12</v>
      </c>
      <c r="B5" s="34">
        <v>2500</v>
      </c>
      <c r="C5" s="5"/>
      <c r="D5" s="33" t="s">
        <v>18</v>
      </c>
      <c r="E5" s="36"/>
    </row>
    <row r="6" spans="1:9" x14ac:dyDescent="0.75">
      <c r="A6" s="23" t="s">
        <v>14</v>
      </c>
      <c r="B6" s="15">
        <v>800</v>
      </c>
      <c r="C6" s="35" t="s">
        <v>147</v>
      </c>
      <c r="D6" s="33" t="s">
        <v>145</v>
      </c>
      <c r="E6" s="36">
        <v>2868</v>
      </c>
    </row>
    <row r="7" spans="1:9" x14ac:dyDescent="0.75">
      <c r="A7" s="13" t="s">
        <v>15</v>
      </c>
      <c r="B7" s="27">
        <v>500</v>
      </c>
      <c r="C7" s="5" t="s">
        <v>146</v>
      </c>
      <c r="D7" s="6" t="s">
        <v>149</v>
      </c>
      <c r="E7" s="16">
        <v>443</v>
      </c>
    </row>
    <row r="8" spans="1:9" x14ac:dyDescent="0.75">
      <c r="A8" s="6" t="s">
        <v>20</v>
      </c>
      <c r="B8" s="15">
        <v>500</v>
      </c>
      <c r="C8" s="5"/>
      <c r="D8" s="6"/>
      <c r="E8" s="16"/>
    </row>
    <row r="9" spans="1:9" s="14" customFormat="1" x14ac:dyDescent="0.75">
      <c r="A9" s="6" t="s">
        <v>16</v>
      </c>
      <c r="B9" s="15">
        <v>500</v>
      </c>
      <c r="C9" s="5"/>
      <c r="D9" s="6"/>
      <c r="E9" s="16"/>
      <c r="H9" s="19"/>
    </row>
    <row r="10" spans="1:9" x14ac:dyDescent="0.75">
      <c r="A10" s="6" t="s">
        <v>144</v>
      </c>
      <c r="B10" s="15">
        <v>300</v>
      </c>
      <c r="C10" s="18"/>
      <c r="D10" s="6"/>
      <c r="E10" s="15"/>
    </row>
    <row r="11" spans="1:9" x14ac:dyDescent="0.75">
      <c r="A11" s="6" t="s">
        <v>25</v>
      </c>
      <c r="B11" s="15">
        <v>1000</v>
      </c>
      <c r="C11" s="18"/>
      <c r="D11" s="6"/>
      <c r="E11" s="15"/>
      <c r="G11" s="1" t="s">
        <v>26</v>
      </c>
    </row>
    <row r="12" spans="1:9" ht="25.8" thickBot="1" x14ac:dyDescent="0.8">
      <c r="A12" s="21" t="s">
        <v>2</v>
      </c>
      <c r="B12" s="20">
        <f>SUM(B4:B11)</f>
        <v>22124.5</v>
      </c>
      <c r="C12" s="17"/>
      <c r="D12" s="21" t="s">
        <v>3</v>
      </c>
      <c r="E12" s="50">
        <f>SUM(E4:E11)</f>
        <v>4311</v>
      </c>
    </row>
    <row r="13" spans="1:9" ht="25.8" thickTop="1" x14ac:dyDescent="0.75">
      <c r="A13" s="7"/>
      <c r="B13" s="12"/>
      <c r="C13" s="8"/>
      <c r="D13" s="7"/>
      <c r="E13" s="9"/>
    </row>
    <row r="14" spans="1:9" x14ac:dyDescent="0.75">
      <c r="A14" s="3"/>
      <c r="B14" s="3"/>
      <c r="C14" s="10"/>
      <c r="D14" s="3" t="s">
        <v>0</v>
      </c>
      <c r="E14" s="12">
        <v>22124.5</v>
      </c>
      <c r="G14" s="25"/>
      <c r="I14" s="1" t="s">
        <v>26</v>
      </c>
    </row>
    <row r="15" spans="1:9" x14ac:dyDescent="0.75">
      <c r="A15" s="3"/>
      <c r="B15" s="3"/>
      <c r="C15" s="10"/>
      <c r="D15" s="3" t="s">
        <v>1</v>
      </c>
      <c r="E15" s="12">
        <v>4311</v>
      </c>
      <c r="G15" s="2"/>
      <c r="H15" s="1" t="s">
        <v>26</v>
      </c>
    </row>
    <row r="16" spans="1:9" ht="25.8" thickBot="1" x14ac:dyDescent="0.8">
      <c r="A16" s="3"/>
      <c r="B16" s="3"/>
      <c r="C16" s="10"/>
      <c r="D16" s="24" t="s">
        <v>9</v>
      </c>
      <c r="E16" s="42">
        <f>SUM(E14-E15)</f>
        <v>17813.5</v>
      </c>
      <c r="G16" s="2"/>
    </row>
    <row r="17" spans="1:8" ht="25.8" thickTop="1" x14ac:dyDescent="0.75">
      <c r="A17" s="29" t="s">
        <v>6</v>
      </c>
      <c r="B17" s="29"/>
      <c r="C17" s="30"/>
      <c r="D17" s="31"/>
      <c r="E17" s="38"/>
    </row>
    <row r="18" spans="1:8" ht="27.6" x14ac:dyDescent="0.8">
      <c r="A18" s="29" t="s">
        <v>10</v>
      </c>
      <c r="B18" s="29"/>
      <c r="C18" s="30"/>
      <c r="D18" s="31" t="s">
        <v>19</v>
      </c>
      <c r="E18"/>
      <c r="H18" s="32"/>
    </row>
    <row r="19" spans="1:8" ht="21" customHeight="1" x14ac:dyDescent="0.75">
      <c r="A19" s="29" t="s">
        <v>21</v>
      </c>
      <c r="B19" s="29"/>
      <c r="C19" s="30"/>
      <c r="D19" s="41" t="s">
        <v>11</v>
      </c>
      <c r="E19"/>
    </row>
    <row r="20" spans="1:8" x14ac:dyDescent="0.75">
      <c r="A20" s="29"/>
      <c r="B20" s="29"/>
      <c r="C20" s="30"/>
      <c r="D20" s="44"/>
      <c r="E20"/>
      <c r="H20" s="2"/>
    </row>
    <row r="21" spans="1:8" ht="21" customHeight="1" x14ac:dyDescent="0.75">
      <c r="A21" s="73" t="s">
        <v>62</v>
      </c>
      <c r="B21" s="73"/>
      <c r="C21" s="30"/>
      <c r="D21" s="46" t="s">
        <v>140</v>
      </c>
      <c r="E21" s="39"/>
      <c r="H21" s="2"/>
    </row>
    <row r="22" spans="1:8" ht="20.25" customHeight="1" x14ac:dyDescent="0.75">
      <c r="A22" s="73" t="s">
        <v>63</v>
      </c>
      <c r="B22" s="73"/>
      <c r="C22" s="73" t="s">
        <v>23</v>
      </c>
      <c r="D22" s="73"/>
      <c r="E22" s="73"/>
      <c r="H22" s="2"/>
    </row>
    <row r="23" spans="1:8" ht="20.25" customHeight="1" x14ac:dyDescent="0.75">
      <c r="A23" s="74"/>
      <c r="B23" s="74"/>
      <c r="C23" s="30"/>
      <c r="D23" s="48"/>
      <c r="E23" s="41"/>
    </row>
    <row r="24" spans="1:8" ht="20.25" customHeight="1" x14ac:dyDescent="0.75">
      <c r="A24" s="3"/>
      <c r="B24" s="4"/>
      <c r="C24" s="73"/>
      <c r="D24" s="73"/>
      <c r="E24" s="73"/>
      <c r="H24" s="2"/>
    </row>
    <row r="25" spans="1:8" ht="20.25" customHeight="1" x14ac:dyDescent="0.75">
      <c r="A25" s="29"/>
      <c r="B25" s="11"/>
      <c r="C25" s="74"/>
      <c r="D25" s="74"/>
      <c r="E25" s="74"/>
      <c r="H25" s="2"/>
    </row>
    <row r="26" spans="1:8" x14ac:dyDescent="0.75">
      <c r="A26" s="73" t="s">
        <v>127</v>
      </c>
      <c r="B26" s="73"/>
      <c r="C26" s="3"/>
      <c r="D26" s="28"/>
      <c r="E26"/>
      <c r="H26" s="26"/>
    </row>
    <row r="27" spans="1:8" x14ac:dyDescent="0.75">
      <c r="A27" s="73" t="s">
        <v>8</v>
      </c>
      <c r="B27" s="73"/>
      <c r="C27" s="3"/>
      <c r="D27"/>
      <c r="E27" s="28"/>
      <c r="H27" s="26"/>
    </row>
    <row r="28" spans="1:8" x14ac:dyDescent="0.75">
      <c r="A28" s="74"/>
      <c r="B28" s="74"/>
      <c r="E28" s="2"/>
    </row>
    <row r="29" spans="1:8" x14ac:dyDescent="0.75">
      <c r="E29" s="4"/>
    </row>
    <row r="30" spans="1:8" x14ac:dyDescent="0.75">
      <c r="E30" s="4"/>
    </row>
  </sheetData>
  <mergeCells count="13">
    <mergeCell ref="A28:B28"/>
    <mergeCell ref="A1:E1"/>
    <mergeCell ref="A2:E2"/>
    <mergeCell ref="A3:B3"/>
    <mergeCell ref="C3:E3"/>
    <mergeCell ref="A21:B21"/>
    <mergeCell ref="A22:B22"/>
    <mergeCell ref="C22:E22"/>
    <mergeCell ref="A23:B23"/>
    <mergeCell ref="C24:E24"/>
    <mergeCell ref="C25:E25"/>
    <mergeCell ref="A26:B26"/>
    <mergeCell ref="A27:B27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3A33-242E-4E1E-9998-098B97EC5792}">
  <dimension ref="A1:I32"/>
  <sheetViews>
    <sheetView workbookViewId="0">
      <selection activeCell="E19" sqref="E19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1.59765625" style="1" customWidth="1"/>
    <col min="6" max="6" width="14.69921875" style="1" customWidth="1"/>
    <col min="7" max="7" width="11" style="1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5" t="s">
        <v>34</v>
      </c>
      <c r="B2" s="75"/>
      <c r="C2" s="75"/>
      <c r="D2" s="75"/>
      <c r="E2" s="75"/>
    </row>
    <row r="3" spans="1:9" x14ac:dyDescent="0.75">
      <c r="A3" s="76" t="s">
        <v>0</v>
      </c>
      <c r="B3" s="77"/>
      <c r="C3" s="76" t="s">
        <v>1</v>
      </c>
      <c r="D3" s="78"/>
      <c r="E3" s="77"/>
    </row>
    <row r="4" spans="1:9" x14ac:dyDescent="0.75">
      <c r="A4" s="22" t="s">
        <v>5</v>
      </c>
      <c r="B4" s="15">
        <v>14654</v>
      </c>
      <c r="C4" s="5" t="s">
        <v>33</v>
      </c>
      <c r="D4" s="6" t="s">
        <v>17</v>
      </c>
      <c r="E4" s="16">
        <v>1000</v>
      </c>
    </row>
    <row r="5" spans="1:9" s="37" customFormat="1" x14ac:dyDescent="0.75">
      <c r="A5" s="33" t="s">
        <v>12</v>
      </c>
      <c r="B5" s="34">
        <v>2000</v>
      </c>
      <c r="C5" s="5"/>
      <c r="D5" s="33" t="s">
        <v>18</v>
      </c>
      <c r="E5" s="36">
        <v>873</v>
      </c>
    </row>
    <row r="6" spans="1:9" x14ac:dyDescent="0.75">
      <c r="A6" s="6" t="s">
        <v>13</v>
      </c>
      <c r="B6" s="15">
        <v>1000</v>
      </c>
      <c r="C6" s="35" t="s">
        <v>35</v>
      </c>
      <c r="D6" s="33" t="s">
        <v>31</v>
      </c>
      <c r="E6" s="36">
        <v>5465</v>
      </c>
    </row>
    <row r="7" spans="1:9" x14ac:dyDescent="0.75">
      <c r="A7" s="6" t="s">
        <v>30</v>
      </c>
      <c r="B7" s="15">
        <v>800</v>
      </c>
      <c r="C7" s="5"/>
      <c r="D7" s="6"/>
      <c r="E7" s="16"/>
    </row>
    <row r="8" spans="1:9" x14ac:dyDescent="0.75">
      <c r="A8" s="23" t="s">
        <v>14</v>
      </c>
      <c r="B8" s="27">
        <v>800</v>
      </c>
      <c r="C8" s="5"/>
      <c r="D8" s="6"/>
      <c r="E8" s="16"/>
    </row>
    <row r="9" spans="1:9" s="14" customFormat="1" x14ac:dyDescent="0.75">
      <c r="A9" s="13" t="s">
        <v>15</v>
      </c>
      <c r="B9" s="51">
        <v>500</v>
      </c>
      <c r="C9" s="5"/>
      <c r="D9" s="6"/>
      <c r="E9" s="16"/>
      <c r="H9" s="19"/>
    </row>
    <row r="10" spans="1:9" x14ac:dyDescent="0.75">
      <c r="A10" s="6" t="s">
        <v>20</v>
      </c>
      <c r="B10" s="15">
        <v>300</v>
      </c>
      <c r="C10" s="18"/>
      <c r="D10" s="6"/>
      <c r="E10" s="15"/>
    </row>
    <row r="11" spans="1:9" x14ac:dyDescent="0.75">
      <c r="A11" s="6" t="s">
        <v>16</v>
      </c>
      <c r="B11" s="15">
        <v>300</v>
      </c>
      <c r="C11" s="18"/>
      <c r="D11" s="6"/>
      <c r="E11" s="15"/>
      <c r="G11" s="1" t="s">
        <v>26</v>
      </c>
    </row>
    <row r="12" spans="1:9" x14ac:dyDescent="0.75">
      <c r="A12" s="6" t="s">
        <v>25</v>
      </c>
      <c r="B12" s="51">
        <v>1000</v>
      </c>
      <c r="C12" s="18"/>
      <c r="D12" s="6"/>
      <c r="E12" s="15"/>
    </row>
    <row r="13" spans="1:9" x14ac:dyDescent="0.75">
      <c r="A13" s="6"/>
      <c r="B13" s="15"/>
      <c r="C13" s="18"/>
      <c r="D13" s="6"/>
      <c r="E13" s="15"/>
    </row>
    <row r="14" spans="1:9" ht="25.8" thickBot="1" x14ac:dyDescent="0.8">
      <c r="A14" s="21" t="s">
        <v>2</v>
      </c>
      <c r="B14" s="20">
        <f>SUM(B4:B13)</f>
        <v>21354</v>
      </c>
      <c r="C14" s="17"/>
      <c r="D14" s="21" t="s">
        <v>3</v>
      </c>
      <c r="E14" s="50">
        <f>SUM(E4:E12)</f>
        <v>7338</v>
      </c>
    </row>
    <row r="15" spans="1:9" ht="25.8" thickTop="1" x14ac:dyDescent="0.75">
      <c r="A15" s="7"/>
      <c r="B15" s="12"/>
      <c r="C15" s="8"/>
      <c r="D15" s="7"/>
      <c r="E15" s="9"/>
    </row>
    <row r="16" spans="1:9" x14ac:dyDescent="0.75">
      <c r="A16" s="3"/>
      <c r="B16" s="3"/>
      <c r="C16" s="10"/>
      <c r="D16" s="3" t="s">
        <v>0</v>
      </c>
      <c r="E16" s="12">
        <v>21354</v>
      </c>
      <c r="G16" s="25"/>
      <c r="I16" s="1" t="s">
        <v>26</v>
      </c>
    </row>
    <row r="17" spans="1:8" x14ac:dyDescent="0.75">
      <c r="A17" s="3"/>
      <c r="B17" s="3"/>
      <c r="C17" s="10"/>
      <c r="D17" s="3" t="s">
        <v>1</v>
      </c>
      <c r="E17" s="12">
        <v>7338</v>
      </c>
      <c r="G17" s="2"/>
      <c r="H17" s="1" t="s">
        <v>26</v>
      </c>
    </row>
    <row r="18" spans="1:8" ht="25.8" thickBot="1" x14ac:dyDescent="0.8">
      <c r="A18" s="3"/>
      <c r="B18" s="3"/>
      <c r="C18" s="10"/>
      <c r="D18" s="24" t="s">
        <v>9</v>
      </c>
      <c r="E18" s="42">
        <f>SUM(E16-E17)</f>
        <v>14016</v>
      </c>
      <c r="G18" s="2"/>
    </row>
    <row r="19" spans="1:8" ht="25.8" thickTop="1" x14ac:dyDescent="0.75">
      <c r="A19" s="29" t="s">
        <v>6</v>
      </c>
      <c r="B19" s="29"/>
      <c r="C19" s="30"/>
      <c r="D19" s="31"/>
      <c r="E19" s="38"/>
    </row>
    <row r="20" spans="1:8" ht="27.6" x14ac:dyDescent="0.8">
      <c r="A20" s="29" t="s">
        <v>10</v>
      </c>
      <c r="B20" s="29"/>
      <c r="C20" s="30"/>
      <c r="D20" s="31" t="s">
        <v>19</v>
      </c>
      <c r="E20"/>
      <c r="H20" s="32"/>
    </row>
    <row r="21" spans="1:8" ht="21" customHeight="1" x14ac:dyDescent="0.75">
      <c r="A21" s="29" t="s">
        <v>21</v>
      </c>
      <c r="B21" s="29"/>
      <c r="C21" s="30"/>
      <c r="D21" s="41" t="s">
        <v>11</v>
      </c>
      <c r="E21"/>
    </row>
    <row r="22" spans="1:8" x14ac:dyDescent="0.75">
      <c r="A22" s="29"/>
      <c r="B22" s="29"/>
      <c r="C22" s="30"/>
      <c r="D22" s="44" t="s">
        <v>24</v>
      </c>
      <c r="E22"/>
      <c r="H22" s="2"/>
    </row>
    <row r="23" spans="1:8" ht="21" customHeight="1" x14ac:dyDescent="0.75">
      <c r="A23" s="73" t="s">
        <v>7</v>
      </c>
      <c r="B23" s="73"/>
      <c r="C23" s="30"/>
      <c r="D23" s="46" t="s">
        <v>22</v>
      </c>
      <c r="E23" s="39"/>
      <c r="H23" s="2"/>
    </row>
    <row r="24" spans="1:8" ht="20.25" customHeight="1" x14ac:dyDescent="0.75">
      <c r="A24" s="73" t="s">
        <v>8</v>
      </c>
      <c r="B24" s="73"/>
      <c r="C24" s="73" t="s">
        <v>23</v>
      </c>
      <c r="D24" s="73"/>
      <c r="E24" s="73"/>
      <c r="H24" s="2"/>
    </row>
    <row r="25" spans="1:8" ht="20.25" customHeight="1" x14ac:dyDescent="0.75">
      <c r="A25" s="74" t="s">
        <v>36</v>
      </c>
      <c r="B25" s="74"/>
      <c r="C25" s="30"/>
      <c r="D25" s="48" t="s">
        <v>36</v>
      </c>
      <c r="E25" s="41"/>
    </row>
    <row r="26" spans="1:8" ht="20.25" customHeight="1" x14ac:dyDescent="0.75">
      <c r="A26" s="3"/>
      <c r="B26" s="4"/>
      <c r="C26" s="73"/>
      <c r="D26" s="73"/>
      <c r="E26" s="73"/>
      <c r="H26" s="2"/>
    </row>
    <row r="27" spans="1:8" ht="20.25" customHeight="1" x14ac:dyDescent="0.75">
      <c r="A27" s="29" t="s">
        <v>29</v>
      </c>
      <c r="B27" s="11"/>
      <c r="C27" s="74"/>
      <c r="D27" s="74"/>
      <c r="E27" s="74"/>
      <c r="H27" s="2"/>
    </row>
    <row r="28" spans="1:8" x14ac:dyDescent="0.75">
      <c r="A28" s="73" t="s">
        <v>28</v>
      </c>
      <c r="B28" s="73"/>
      <c r="C28" s="3"/>
      <c r="D28" s="28"/>
      <c r="E28"/>
      <c r="H28" s="26"/>
    </row>
    <row r="29" spans="1:8" x14ac:dyDescent="0.75">
      <c r="A29" s="73" t="s">
        <v>27</v>
      </c>
      <c r="B29" s="73"/>
      <c r="C29" s="3"/>
      <c r="D29"/>
      <c r="E29" s="28"/>
      <c r="H29" s="26"/>
    </row>
    <row r="30" spans="1:8" x14ac:dyDescent="0.75">
      <c r="A30" s="74" t="s">
        <v>36</v>
      </c>
      <c r="B30" s="74"/>
      <c r="E30" s="2"/>
    </row>
    <row r="31" spans="1:8" x14ac:dyDescent="0.75">
      <c r="E31" s="4"/>
    </row>
    <row r="32" spans="1:8" x14ac:dyDescent="0.75">
      <c r="E32" s="4"/>
    </row>
  </sheetData>
  <mergeCells count="13">
    <mergeCell ref="A30:B30"/>
    <mergeCell ref="A1:E1"/>
    <mergeCell ref="A2:E2"/>
    <mergeCell ref="A3:B3"/>
    <mergeCell ref="C3:E3"/>
    <mergeCell ref="A23:B23"/>
    <mergeCell ref="A24:B24"/>
    <mergeCell ref="C24:E24"/>
    <mergeCell ref="A25:B25"/>
    <mergeCell ref="C26:E26"/>
    <mergeCell ref="C27:E27"/>
    <mergeCell ref="A28:B28"/>
    <mergeCell ref="A29:B29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F60-9FF9-410C-9735-9BFF5B5D6D70}">
  <dimension ref="A1:I32"/>
  <sheetViews>
    <sheetView workbookViewId="0">
      <selection activeCell="J18" sqref="J18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1.59765625" style="1" customWidth="1"/>
    <col min="6" max="6" width="14.69921875" style="1" customWidth="1"/>
    <col min="7" max="7" width="11" style="1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5" t="s">
        <v>37</v>
      </c>
      <c r="B2" s="75"/>
      <c r="C2" s="75"/>
      <c r="D2" s="75"/>
      <c r="E2" s="75"/>
    </row>
    <row r="3" spans="1:9" x14ac:dyDescent="0.75">
      <c r="A3" s="76" t="s">
        <v>0</v>
      </c>
      <c r="B3" s="77"/>
      <c r="C3" s="76" t="s">
        <v>1</v>
      </c>
      <c r="D3" s="78"/>
      <c r="E3" s="77"/>
    </row>
    <row r="4" spans="1:9" x14ac:dyDescent="0.75">
      <c r="A4" s="22" t="s">
        <v>5</v>
      </c>
      <c r="B4" s="15">
        <v>14016</v>
      </c>
      <c r="C4" s="5" t="s">
        <v>38</v>
      </c>
      <c r="D4" s="6" t="s">
        <v>17</v>
      </c>
      <c r="E4" s="16">
        <v>1000</v>
      </c>
    </row>
    <row r="5" spans="1:9" s="37" customFormat="1" x14ac:dyDescent="0.75">
      <c r="A5" s="33" t="s">
        <v>12</v>
      </c>
      <c r="B5" s="34">
        <v>2000</v>
      </c>
      <c r="C5" s="5"/>
      <c r="D5" s="33" t="s">
        <v>18</v>
      </c>
      <c r="E5" s="36">
        <v>1392</v>
      </c>
    </row>
    <row r="6" spans="1:9" x14ac:dyDescent="0.75">
      <c r="A6" s="6" t="s">
        <v>13</v>
      </c>
      <c r="B6" s="15">
        <v>1000</v>
      </c>
      <c r="C6" s="35"/>
      <c r="D6" s="33"/>
      <c r="E6" s="36"/>
    </row>
    <row r="7" spans="1:9" x14ac:dyDescent="0.75">
      <c r="A7" s="6" t="s">
        <v>30</v>
      </c>
      <c r="B7" s="15">
        <v>800</v>
      </c>
      <c r="C7" s="5"/>
      <c r="D7" s="6"/>
      <c r="E7" s="16"/>
    </row>
    <row r="8" spans="1:9" x14ac:dyDescent="0.75">
      <c r="A8" s="23" t="s">
        <v>14</v>
      </c>
      <c r="B8" s="27">
        <v>800</v>
      </c>
      <c r="C8" s="5"/>
      <c r="D8" s="6"/>
      <c r="E8" s="16"/>
    </row>
    <row r="9" spans="1:9" s="14" customFormat="1" x14ac:dyDescent="0.75">
      <c r="A9" s="13" t="s">
        <v>15</v>
      </c>
      <c r="B9" s="51">
        <v>500</v>
      </c>
      <c r="C9" s="5"/>
      <c r="D9" s="6"/>
      <c r="E9" s="16"/>
      <c r="H9" s="19"/>
    </row>
    <row r="10" spans="1:9" x14ac:dyDescent="0.75">
      <c r="A10" s="6" t="s">
        <v>20</v>
      </c>
      <c r="B10" s="15">
        <v>500</v>
      </c>
      <c r="C10" s="18"/>
      <c r="D10" s="6"/>
      <c r="E10" s="15"/>
    </row>
    <row r="11" spans="1:9" x14ac:dyDescent="0.75">
      <c r="A11" s="6" t="s">
        <v>16</v>
      </c>
      <c r="B11" s="15">
        <v>500</v>
      </c>
      <c r="C11" s="18"/>
      <c r="D11" s="6"/>
      <c r="E11" s="15"/>
      <c r="G11" s="1" t="s">
        <v>26</v>
      </c>
    </row>
    <row r="12" spans="1:9" x14ac:dyDescent="0.75">
      <c r="A12" s="6" t="s">
        <v>25</v>
      </c>
      <c r="B12" s="51">
        <v>1000</v>
      </c>
      <c r="C12" s="18"/>
      <c r="D12" s="6"/>
      <c r="E12" s="15"/>
    </row>
    <row r="13" spans="1:9" x14ac:dyDescent="0.75">
      <c r="A13" s="6"/>
      <c r="B13" s="15"/>
      <c r="C13" s="18"/>
      <c r="D13" s="6"/>
      <c r="E13" s="15"/>
    </row>
    <row r="14" spans="1:9" ht="25.8" thickBot="1" x14ac:dyDescent="0.8">
      <c r="A14" s="21" t="s">
        <v>2</v>
      </c>
      <c r="B14" s="20">
        <f>SUM(B4:B13)</f>
        <v>21116</v>
      </c>
      <c r="C14" s="17"/>
      <c r="D14" s="21" t="s">
        <v>3</v>
      </c>
      <c r="E14" s="50">
        <f>SUM(E4:E12)</f>
        <v>2392</v>
      </c>
    </row>
    <row r="15" spans="1:9" ht="25.8" thickTop="1" x14ac:dyDescent="0.75">
      <c r="A15" s="7"/>
      <c r="B15" s="12"/>
      <c r="C15" s="8"/>
      <c r="D15" s="7"/>
      <c r="E15" s="9"/>
    </row>
    <row r="16" spans="1:9" x14ac:dyDescent="0.75">
      <c r="A16" s="3"/>
      <c r="B16" s="3"/>
      <c r="C16" s="10"/>
      <c r="D16" s="3" t="s">
        <v>0</v>
      </c>
      <c r="E16" s="12">
        <v>21116</v>
      </c>
      <c r="G16" s="25"/>
      <c r="I16" s="1" t="s">
        <v>26</v>
      </c>
    </row>
    <row r="17" spans="1:8" x14ac:dyDescent="0.75">
      <c r="A17" s="3"/>
      <c r="B17" s="3"/>
      <c r="C17" s="10"/>
      <c r="D17" s="3" t="s">
        <v>1</v>
      </c>
      <c r="E17" s="12">
        <v>2392</v>
      </c>
      <c r="G17" s="2"/>
      <c r="H17" s="1" t="s">
        <v>26</v>
      </c>
    </row>
    <row r="18" spans="1:8" ht="25.8" thickBot="1" x14ac:dyDescent="0.8">
      <c r="A18" s="3"/>
      <c r="B18" s="3"/>
      <c r="C18" s="10"/>
      <c r="D18" s="24" t="s">
        <v>9</v>
      </c>
      <c r="E18" s="42">
        <f>SUM(E16-E17)</f>
        <v>18724</v>
      </c>
      <c r="G18" s="2"/>
    </row>
    <row r="19" spans="1:8" ht="25.8" thickTop="1" x14ac:dyDescent="0.75">
      <c r="A19" s="29" t="s">
        <v>6</v>
      </c>
      <c r="B19" s="29"/>
      <c r="C19" s="30"/>
      <c r="D19" s="31"/>
      <c r="E19" s="38"/>
    </row>
    <row r="20" spans="1:8" ht="27.6" x14ac:dyDescent="0.8">
      <c r="A20" s="29" t="s">
        <v>10</v>
      </c>
      <c r="B20" s="29"/>
      <c r="C20" s="30"/>
      <c r="D20" s="31" t="s">
        <v>19</v>
      </c>
      <c r="E20"/>
      <c r="H20" s="32"/>
    </row>
    <row r="21" spans="1:8" ht="21" customHeight="1" x14ac:dyDescent="0.75">
      <c r="A21" s="29" t="s">
        <v>21</v>
      </c>
      <c r="B21" s="29"/>
      <c r="C21" s="30"/>
      <c r="D21" s="41" t="s">
        <v>11</v>
      </c>
      <c r="E21"/>
    </row>
    <row r="22" spans="1:8" x14ac:dyDescent="0.75">
      <c r="A22" s="29"/>
      <c r="B22" s="29"/>
      <c r="C22" s="30"/>
      <c r="D22" s="44" t="s">
        <v>24</v>
      </c>
      <c r="E22"/>
      <c r="H22" s="2"/>
    </row>
    <row r="23" spans="1:8" ht="21" customHeight="1" x14ac:dyDescent="0.75">
      <c r="A23" s="73" t="s">
        <v>7</v>
      </c>
      <c r="B23" s="73"/>
      <c r="C23" s="30"/>
      <c r="D23" s="46" t="s">
        <v>22</v>
      </c>
      <c r="E23" s="39"/>
      <c r="H23" s="2"/>
    </row>
    <row r="24" spans="1:8" ht="20.25" customHeight="1" x14ac:dyDescent="0.75">
      <c r="A24" s="73" t="s">
        <v>8</v>
      </c>
      <c r="B24" s="73"/>
      <c r="C24" s="73" t="s">
        <v>23</v>
      </c>
      <c r="D24" s="73"/>
      <c r="E24" s="73"/>
      <c r="H24" s="2"/>
    </row>
    <row r="25" spans="1:8" ht="20.25" customHeight="1" x14ac:dyDescent="0.75">
      <c r="A25" s="74" t="s">
        <v>39</v>
      </c>
      <c r="B25" s="74"/>
      <c r="C25" s="30"/>
      <c r="D25" s="48" t="s">
        <v>39</v>
      </c>
      <c r="E25" s="41"/>
    </row>
    <row r="26" spans="1:8" ht="20.25" customHeight="1" x14ac:dyDescent="0.75">
      <c r="A26" s="3"/>
      <c r="B26" s="4"/>
      <c r="C26" s="73"/>
      <c r="D26" s="73"/>
      <c r="E26" s="73"/>
      <c r="H26" s="2"/>
    </row>
    <row r="27" spans="1:8" ht="20.25" customHeight="1" x14ac:dyDescent="0.75">
      <c r="A27" s="29" t="s">
        <v>29</v>
      </c>
      <c r="B27" s="11"/>
      <c r="C27" s="74"/>
      <c r="D27" s="74"/>
      <c r="E27" s="74"/>
      <c r="H27" s="2"/>
    </row>
    <row r="28" spans="1:8" x14ac:dyDescent="0.75">
      <c r="A28" s="73" t="s">
        <v>28</v>
      </c>
      <c r="B28" s="73"/>
      <c r="C28" s="3"/>
      <c r="D28" s="28"/>
      <c r="E28"/>
      <c r="H28" s="26"/>
    </row>
    <row r="29" spans="1:8" x14ac:dyDescent="0.75">
      <c r="A29" s="73" t="s">
        <v>27</v>
      </c>
      <c r="B29" s="73"/>
      <c r="C29" s="3"/>
      <c r="D29"/>
      <c r="E29" s="28"/>
      <c r="H29" s="26"/>
    </row>
    <row r="30" spans="1:8" x14ac:dyDescent="0.75">
      <c r="A30" s="74" t="s">
        <v>39</v>
      </c>
      <c r="B30" s="74"/>
      <c r="E30" s="2"/>
    </row>
    <row r="31" spans="1:8" x14ac:dyDescent="0.75">
      <c r="E31" s="4"/>
    </row>
    <row r="32" spans="1:8" x14ac:dyDescent="0.75">
      <c r="E32" s="4"/>
    </row>
  </sheetData>
  <mergeCells count="13">
    <mergeCell ref="A30:B30"/>
    <mergeCell ref="A1:E1"/>
    <mergeCell ref="A2:E2"/>
    <mergeCell ref="A3:B3"/>
    <mergeCell ref="C3:E3"/>
    <mergeCell ref="A23:B23"/>
    <mergeCell ref="A24:B24"/>
    <mergeCell ref="C24:E24"/>
    <mergeCell ref="A25:B25"/>
    <mergeCell ref="C26:E26"/>
    <mergeCell ref="C27:E27"/>
    <mergeCell ref="A28:B28"/>
    <mergeCell ref="A29:B29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2DB5-5A7B-4844-A485-F4694DDFD08D}">
  <dimension ref="A1:I39"/>
  <sheetViews>
    <sheetView topLeftCell="A10" workbookViewId="0">
      <selection activeCell="G9" sqref="G9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3.8984375" style="1" customWidth="1"/>
    <col min="6" max="6" width="14.69921875" style="1" customWidth="1"/>
    <col min="7" max="7" width="11" style="1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5" t="s">
        <v>40</v>
      </c>
      <c r="B2" s="75"/>
      <c r="C2" s="75"/>
      <c r="D2" s="75"/>
      <c r="E2" s="75"/>
    </row>
    <row r="3" spans="1:9" x14ac:dyDescent="0.75">
      <c r="A3" s="76" t="s">
        <v>0</v>
      </c>
      <c r="B3" s="77"/>
      <c r="C3" s="76" t="s">
        <v>1</v>
      </c>
      <c r="D3" s="78"/>
      <c r="E3" s="77"/>
    </row>
    <row r="4" spans="1:9" x14ac:dyDescent="0.75">
      <c r="A4" s="22" t="s">
        <v>5</v>
      </c>
      <c r="B4" s="15">
        <v>18724</v>
      </c>
      <c r="C4" s="5" t="s">
        <v>38</v>
      </c>
      <c r="D4" s="6" t="s">
        <v>17</v>
      </c>
      <c r="E4" s="16">
        <v>1000</v>
      </c>
    </row>
    <row r="5" spans="1:9" s="37" customFormat="1" x14ac:dyDescent="0.75">
      <c r="A5" s="33" t="s">
        <v>12</v>
      </c>
      <c r="B5" s="34">
        <v>2000</v>
      </c>
      <c r="C5" s="5"/>
      <c r="D5" s="33"/>
      <c r="E5" s="36"/>
    </row>
    <row r="6" spans="1:9" x14ac:dyDescent="0.75">
      <c r="A6" s="6" t="s">
        <v>13</v>
      </c>
      <c r="B6" s="15">
        <v>1000</v>
      </c>
      <c r="C6" s="35"/>
      <c r="D6" s="33"/>
      <c r="E6" s="36"/>
    </row>
    <row r="7" spans="1:9" x14ac:dyDescent="0.75">
      <c r="A7" s="6" t="s">
        <v>30</v>
      </c>
      <c r="B7" s="15">
        <v>800</v>
      </c>
      <c r="C7" s="5"/>
      <c r="D7" s="6"/>
      <c r="E7" s="16"/>
    </row>
    <row r="8" spans="1:9" x14ac:dyDescent="0.75">
      <c r="A8" s="23" t="s">
        <v>14</v>
      </c>
      <c r="B8" s="27">
        <v>800</v>
      </c>
      <c r="C8" s="5"/>
      <c r="D8" s="6"/>
      <c r="E8" s="16"/>
    </row>
    <row r="9" spans="1:9" s="14" customFormat="1" x14ac:dyDescent="0.75">
      <c r="A9" s="13" t="s">
        <v>15</v>
      </c>
      <c r="B9" s="15">
        <v>500</v>
      </c>
      <c r="C9" s="5"/>
      <c r="D9" s="6"/>
      <c r="E9" s="16"/>
      <c r="H9" s="19"/>
    </row>
    <row r="10" spans="1:9" x14ac:dyDescent="0.75">
      <c r="A10" s="6" t="s">
        <v>20</v>
      </c>
      <c r="B10" s="15">
        <v>500</v>
      </c>
      <c r="C10" s="18"/>
      <c r="D10" s="6"/>
      <c r="E10" s="15"/>
    </row>
    <row r="11" spans="1:9" x14ac:dyDescent="0.75">
      <c r="A11" s="6" t="s">
        <v>16</v>
      </c>
      <c r="B11" s="15">
        <v>500</v>
      </c>
      <c r="C11" s="18"/>
      <c r="D11" s="6"/>
      <c r="E11" s="15"/>
      <c r="G11" s="1" t="s">
        <v>26</v>
      </c>
    </row>
    <row r="12" spans="1:9" x14ac:dyDescent="0.75">
      <c r="A12" s="6" t="s">
        <v>25</v>
      </c>
      <c r="B12" s="15">
        <v>1000</v>
      </c>
      <c r="C12" s="18"/>
      <c r="D12" s="6"/>
      <c r="E12" s="15"/>
    </row>
    <row r="13" spans="1:9" ht="25.8" thickBot="1" x14ac:dyDescent="0.8">
      <c r="A13" s="21" t="s">
        <v>2</v>
      </c>
      <c r="B13" s="20">
        <f>SUM(B4:B12)</f>
        <v>25824</v>
      </c>
      <c r="C13" s="17"/>
      <c r="D13" s="21" t="s">
        <v>3</v>
      </c>
      <c r="E13" s="50">
        <f>SUM(E4:E12)</f>
        <v>1000</v>
      </c>
    </row>
    <row r="14" spans="1:9" ht="25.8" thickTop="1" x14ac:dyDescent="0.75">
      <c r="A14" s="3"/>
      <c r="B14" s="3"/>
      <c r="C14" s="10"/>
      <c r="D14" s="3" t="s">
        <v>0</v>
      </c>
      <c r="E14" s="12">
        <v>25824</v>
      </c>
      <c r="G14" s="25"/>
      <c r="I14" s="1" t="s">
        <v>26</v>
      </c>
    </row>
    <row r="15" spans="1:9" x14ac:dyDescent="0.75">
      <c r="A15" s="3"/>
      <c r="B15" s="3"/>
      <c r="C15" s="10"/>
      <c r="D15" s="3" t="s">
        <v>1</v>
      </c>
      <c r="E15" s="12">
        <v>1000</v>
      </c>
      <c r="G15" s="2"/>
      <c r="H15" s="1" t="s">
        <v>26</v>
      </c>
    </row>
    <row r="16" spans="1:9" ht="25.8" thickBot="1" x14ac:dyDescent="0.8">
      <c r="A16" s="3"/>
      <c r="B16" s="3"/>
      <c r="C16" s="10"/>
      <c r="D16" s="24" t="s">
        <v>9</v>
      </c>
      <c r="E16" s="42">
        <f>SUM(E14-E15)</f>
        <v>24824</v>
      </c>
      <c r="G16" s="2"/>
    </row>
    <row r="17" spans="1:8" ht="25.8" thickTop="1" x14ac:dyDescent="0.75">
      <c r="A17" s="29" t="s">
        <v>6</v>
      </c>
      <c r="B17" s="29"/>
      <c r="C17" s="30"/>
      <c r="D17" s="31"/>
      <c r="E17" s="38"/>
      <c r="G17" s="2"/>
    </row>
    <row r="18" spans="1:8" x14ac:dyDescent="0.75">
      <c r="A18" s="29" t="s">
        <v>10</v>
      </c>
      <c r="B18" s="29"/>
      <c r="C18" s="30"/>
      <c r="D18" s="31" t="s">
        <v>19</v>
      </c>
      <c r="E18"/>
      <c r="G18" s="2"/>
    </row>
    <row r="19" spans="1:8" x14ac:dyDescent="0.75">
      <c r="A19" s="29" t="s">
        <v>21</v>
      </c>
      <c r="B19" s="29"/>
      <c r="C19" s="30"/>
      <c r="D19" s="41" t="s">
        <v>11</v>
      </c>
      <c r="E19"/>
      <c r="G19" s="2"/>
    </row>
    <row r="20" spans="1:8" x14ac:dyDescent="0.75">
      <c r="A20" s="29"/>
      <c r="B20" s="29"/>
      <c r="C20" s="30"/>
      <c r="D20" s="44" t="s">
        <v>24</v>
      </c>
      <c r="E20"/>
      <c r="G20" s="2"/>
    </row>
    <row r="21" spans="1:8" x14ac:dyDescent="0.75">
      <c r="A21" s="73" t="s">
        <v>7</v>
      </c>
      <c r="B21" s="73"/>
      <c r="C21" s="30"/>
      <c r="D21" s="46" t="s">
        <v>22</v>
      </c>
      <c r="E21" s="39"/>
      <c r="G21" s="2"/>
    </row>
    <row r="22" spans="1:8" x14ac:dyDescent="0.75">
      <c r="A22" s="73" t="s">
        <v>8</v>
      </c>
      <c r="B22" s="73"/>
      <c r="C22" s="73" t="s">
        <v>23</v>
      </c>
      <c r="D22" s="73"/>
      <c r="E22" s="73"/>
      <c r="G22" s="2"/>
    </row>
    <row r="23" spans="1:8" x14ac:dyDescent="0.75">
      <c r="A23" s="74" t="s">
        <v>33</v>
      </c>
      <c r="B23" s="74"/>
      <c r="C23" s="30"/>
      <c r="D23" s="48" t="s">
        <v>33</v>
      </c>
      <c r="E23" s="41"/>
      <c r="G23" s="2"/>
    </row>
    <row r="24" spans="1:8" x14ac:dyDescent="0.75">
      <c r="A24" s="3"/>
      <c r="B24" s="4"/>
      <c r="C24" s="73"/>
      <c r="D24" s="73"/>
      <c r="E24" s="73"/>
      <c r="G24" s="2"/>
    </row>
    <row r="25" spans="1:8" ht="27.6" x14ac:dyDescent="0.8">
      <c r="A25" s="29" t="s">
        <v>29</v>
      </c>
      <c r="B25" s="11"/>
      <c r="C25" s="74"/>
      <c r="D25" s="74"/>
      <c r="E25" s="74"/>
      <c r="H25" s="32"/>
    </row>
    <row r="26" spans="1:8" ht="21" customHeight="1" x14ac:dyDescent="0.75">
      <c r="A26" s="73" t="s">
        <v>28</v>
      </c>
      <c r="B26" s="73"/>
      <c r="C26" s="3"/>
      <c r="D26" s="28"/>
      <c r="E26"/>
    </row>
    <row r="27" spans="1:8" x14ac:dyDescent="0.75">
      <c r="A27" s="73" t="s">
        <v>27</v>
      </c>
      <c r="B27" s="73"/>
      <c r="C27" s="3"/>
      <c r="D27"/>
      <c r="E27" s="28"/>
      <c r="H27" s="2"/>
    </row>
    <row r="28" spans="1:8" ht="21" customHeight="1" x14ac:dyDescent="0.75">
      <c r="A28" s="74" t="s">
        <v>33</v>
      </c>
      <c r="B28" s="74"/>
      <c r="E28" s="2"/>
      <c r="H28" s="2"/>
    </row>
    <row r="29" spans="1:8" ht="20.25" customHeight="1" x14ac:dyDescent="0.75">
      <c r="E29" s="4"/>
      <c r="H29" s="2"/>
    </row>
    <row r="30" spans="1:8" ht="20.25" customHeight="1" x14ac:dyDescent="0.75">
      <c r="A30" s="52" t="s">
        <v>41</v>
      </c>
      <c r="B30" s="53"/>
    </row>
    <row r="31" spans="1:8" ht="20.25" customHeight="1" x14ac:dyDescent="0.75">
      <c r="A31" s="3"/>
      <c r="B31" s="4"/>
      <c r="C31" s="73"/>
      <c r="D31" s="73"/>
      <c r="E31" s="73"/>
      <c r="H31" s="2"/>
    </row>
    <row r="32" spans="1:8" ht="20.25" customHeight="1" x14ac:dyDescent="0.75">
      <c r="A32" s="29"/>
      <c r="B32" s="11"/>
      <c r="C32" s="74"/>
      <c r="D32" s="74"/>
      <c r="E32" s="74"/>
      <c r="H32" s="2"/>
    </row>
    <row r="33" spans="1:8" x14ac:dyDescent="0.75">
      <c r="A33" s="73"/>
      <c r="B33" s="73"/>
      <c r="C33" s="3"/>
      <c r="D33" s="28"/>
      <c r="E33"/>
      <c r="H33" s="26"/>
    </row>
    <row r="34" spans="1:8" x14ac:dyDescent="0.75">
      <c r="A34" s="73"/>
      <c r="B34" s="73"/>
      <c r="C34" s="3"/>
      <c r="D34"/>
      <c r="E34" s="28"/>
      <c r="H34" s="26"/>
    </row>
    <row r="35" spans="1:8" x14ac:dyDescent="0.75">
      <c r="A35" s="74"/>
      <c r="B35" s="74"/>
      <c r="E35" s="2"/>
    </row>
    <row r="36" spans="1:8" x14ac:dyDescent="0.75">
      <c r="A36" s="80"/>
      <c r="B36" s="80"/>
      <c r="C36" s="80"/>
      <c r="D36" s="80"/>
      <c r="E36" s="80"/>
    </row>
    <row r="37" spans="1:8" x14ac:dyDescent="0.75">
      <c r="A37" s="80"/>
      <c r="B37" s="80"/>
      <c r="C37" s="80"/>
      <c r="D37" s="80"/>
      <c r="E37" s="80"/>
    </row>
    <row r="39" spans="1:8" x14ac:dyDescent="0.75">
      <c r="A39" s="80"/>
      <c r="B39" s="80"/>
      <c r="C39" s="80"/>
      <c r="D39" s="80"/>
      <c r="E39" s="80"/>
    </row>
  </sheetData>
  <mergeCells count="21">
    <mergeCell ref="A1:E1"/>
    <mergeCell ref="A2:E2"/>
    <mergeCell ref="A3:B3"/>
    <mergeCell ref="C3:E3"/>
    <mergeCell ref="A36:E36"/>
    <mergeCell ref="A21:B21"/>
    <mergeCell ref="A22:B22"/>
    <mergeCell ref="C22:E22"/>
    <mergeCell ref="A23:B23"/>
    <mergeCell ref="C24:E24"/>
    <mergeCell ref="C25:E25"/>
    <mergeCell ref="A26:B26"/>
    <mergeCell ref="A27:B27"/>
    <mergeCell ref="A28:B28"/>
    <mergeCell ref="A37:E37"/>
    <mergeCell ref="A39:E39"/>
    <mergeCell ref="C31:E31"/>
    <mergeCell ref="C32:E32"/>
    <mergeCell ref="A33:B33"/>
    <mergeCell ref="A34:B34"/>
    <mergeCell ref="A35:B35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126F-4E41-4D23-826E-DE29EFBF0982}">
  <dimension ref="A1:I38"/>
  <sheetViews>
    <sheetView workbookViewId="0">
      <selection activeCell="H18" sqref="H18"/>
    </sheetView>
  </sheetViews>
  <sheetFormatPr defaultColWidth="9" defaultRowHeight="25.2" x14ac:dyDescent="0.75"/>
  <cols>
    <col min="1" max="1" width="22.296875" style="1" customWidth="1"/>
    <col min="2" max="2" width="11.5" style="1" customWidth="1"/>
    <col min="3" max="3" width="8.796875" style="1" customWidth="1"/>
    <col min="4" max="4" width="29.69921875" style="1" customWidth="1"/>
    <col min="5" max="5" width="12.19921875" style="1" customWidth="1"/>
    <col min="6" max="6" width="23.09765625" style="1" customWidth="1"/>
    <col min="7" max="7" width="11" style="26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5" t="s">
        <v>42</v>
      </c>
      <c r="B2" s="75"/>
      <c r="C2" s="75"/>
      <c r="D2" s="75"/>
      <c r="E2" s="75"/>
    </row>
    <row r="3" spans="1:9" x14ac:dyDescent="0.75">
      <c r="A3" s="76" t="s">
        <v>0</v>
      </c>
      <c r="B3" s="77"/>
      <c r="C3" s="76" t="s">
        <v>1</v>
      </c>
      <c r="D3" s="78"/>
      <c r="E3" s="77"/>
    </row>
    <row r="4" spans="1:9" x14ac:dyDescent="0.75">
      <c r="A4" s="22" t="s">
        <v>5</v>
      </c>
      <c r="B4" s="15">
        <v>24824</v>
      </c>
      <c r="C4" s="5" t="s">
        <v>52</v>
      </c>
      <c r="D4" s="6" t="s">
        <v>48</v>
      </c>
      <c r="E4" s="16">
        <v>2198</v>
      </c>
    </row>
    <row r="5" spans="1:9" s="37" customFormat="1" x14ac:dyDescent="0.75">
      <c r="A5" s="33" t="s">
        <v>12</v>
      </c>
      <c r="B5" s="34"/>
      <c r="C5" s="5" t="s">
        <v>53</v>
      </c>
      <c r="D5" s="6" t="s">
        <v>47</v>
      </c>
      <c r="E5" s="36">
        <v>1890</v>
      </c>
      <c r="G5" s="54"/>
    </row>
    <row r="6" spans="1:9" x14ac:dyDescent="0.75">
      <c r="A6" s="23" t="s">
        <v>14</v>
      </c>
      <c r="B6" s="27"/>
      <c r="C6" s="5" t="s">
        <v>53</v>
      </c>
      <c r="D6" s="6" t="s">
        <v>49</v>
      </c>
      <c r="E6" s="16">
        <v>470</v>
      </c>
    </row>
    <row r="7" spans="1:9" s="14" customFormat="1" x14ac:dyDescent="0.75">
      <c r="A7" s="13" t="s">
        <v>15</v>
      </c>
      <c r="B7" s="15"/>
      <c r="C7" s="5" t="s">
        <v>54</v>
      </c>
      <c r="D7" s="6" t="s">
        <v>50</v>
      </c>
      <c r="E7" s="16">
        <v>1000</v>
      </c>
      <c r="G7" s="55"/>
      <c r="H7" s="19"/>
    </row>
    <row r="8" spans="1:9" x14ac:dyDescent="0.75">
      <c r="A8" s="6" t="s">
        <v>20</v>
      </c>
      <c r="B8" s="15"/>
      <c r="C8" s="18" t="s">
        <v>54</v>
      </c>
      <c r="D8" s="6" t="s">
        <v>51</v>
      </c>
      <c r="E8" s="15">
        <v>600</v>
      </c>
    </row>
    <row r="9" spans="1:9" x14ac:dyDescent="0.75">
      <c r="A9" s="6" t="s">
        <v>16</v>
      </c>
      <c r="B9" s="15"/>
      <c r="C9" s="18"/>
      <c r="D9" s="6"/>
      <c r="E9" s="15"/>
    </row>
    <row r="10" spans="1:9" x14ac:dyDescent="0.75">
      <c r="A10" s="6" t="s">
        <v>43</v>
      </c>
      <c r="B10" s="15"/>
      <c r="C10" s="18"/>
      <c r="D10" s="6"/>
      <c r="E10" s="15"/>
    </row>
    <row r="11" spans="1:9" x14ac:dyDescent="0.75">
      <c r="A11" s="6" t="s">
        <v>25</v>
      </c>
      <c r="B11" s="15"/>
      <c r="C11" s="18"/>
      <c r="D11" s="6"/>
      <c r="E11" s="15"/>
    </row>
    <row r="12" spans="1:9" ht="25.8" thickBot="1" x14ac:dyDescent="0.8">
      <c r="A12" s="21" t="s">
        <v>2</v>
      </c>
      <c r="B12" s="20">
        <f>SUM(B4:B11)</f>
        <v>24824</v>
      </c>
      <c r="C12" s="17"/>
      <c r="D12" s="21" t="s">
        <v>3</v>
      </c>
      <c r="E12" s="50">
        <f>SUM(E4:E11)</f>
        <v>6158</v>
      </c>
    </row>
    <row r="13" spans="1:9" ht="25.8" thickTop="1" x14ac:dyDescent="0.75">
      <c r="A13" s="3"/>
      <c r="B13" s="3"/>
      <c r="C13" s="10"/>
      <c r="D13" s="3" t="s">
        <v>0</v>
      </c>
      <c r="E13" s="12">
        <v>24824</v>
      </c>
      <c r="G13" s="56"/>
      <c r="I13" s="1" t="s">
        <v>26</v>
      </c>
    </row>
    <row r="14" spans="1:9" x14ac:dyDescent="0.75">
      <c r="A14" s="3"/>
      <c r="B14" s="3"/>
      <c r="C14" s="10"/>
      <c r="D14" s="3" t="s">
        <v>1</v>
      </c>
      <c r="E14" s="12">
        <v>6158</v>
      </c>
      <c r="G14" s="57"/>
      <c r="H14" s="1" t="s">
        <v>26</v>
      </c>
    </row>
    <row r="15" spans="1:9" ht="25.8" thickBot="1" x14ac:dyDescent="0.8">
      <c r="A15" s="3"/>
      <c r="B15" s="3"/>
      <c r="C15" s="10"/>
      <c r="D15" s="24" t="s">
        <v>9</v>
      </c>
      <c r="E15" s="42">
        <f>SUM(E13-E14)</f>
        <v>18666</v>
      </c>
      <c r="G15" s="57"/>
    </row>
    <row r="16" spans="1:9" ht="25.8" thickTop="1" x14ac:dyDescent="0.75">
      <c r="A16" s="29" t="s">
        <v>6</v>
      </c>
      <c r="B16" s="29"/>
      <c r="C16" s="30"/>
      <c r="D16" s="31"/>
      <c r="E16" s="38"/>
      <c r="G16" s="57"/>
    </row>
    <row r="17" spans="1:8" x14ac:dyDescent="0.75">
      <c r="A17" s="29" t="s">
        <v>10</v>
      </c>
      <c r="B17" s="29"/>
      <c r="C17" s="30"/>
      <c r="D17" s="31" t="s">
        <v>19</v>
      </c>
      <c r="E17"/>
      <c r="G17" s="57"/>
    </row>
    <row r="18" spans="1:8" x14ac:dyDescent="0.75">
      <c r="A18" s="29" t="s">
        <v>21</v>
      </c>
      <c r="B18" s="29"/>
      <c r="C18" s="30"/>
      <c r="D18" s="41" t="s">
        <v>11</v>
      </c>
      <c r="E18"/>
      <c r="G18" s="57"/>
    </row>
    <row r="19" spans="1:8" x14ac:dyDescent="0.75">
      <c r="A19" s="29"/>
      <c r="B19" s="29"/>
      <c r="C19" s="30"/>
      <c r="D19" s="44"/>
      <c r="E19"/>
      <c r="G19" s="57"/>
    </row>
    <row r="20" spans="1:8" x14ac:dyDescent="0.75">
      <c r="A20" s="73" t="s">
        <v>62</v>
      </c>
      <c r="B20" s="73"/>
      <c r="C20" s="30"/>
      <c r="D20" s="46" t="s">
        <v>61</v>
      </c>
      <c r="E20" s="39"/>
      <c r="G20" s="57"/>
    </row>
    <row r="21" spans="1:8" x14ac:dyDescent="0.75">
      <c r="A21" s="73" t="s">
        <v>63</v>
      </c>
      <c r="B21" s="73"/>
      <c r="C21" s="30"/>
      <c r="D21" s="47" t="s">
        <v>66</v>
      </c>
      <c r="E21" s="40"/>
      <c r="G21" s="57"/>
    </row>
    <row r="22" spans="1:8" x14ac:dyDescent="0.75">
      <c r="A22" s="74" t="s">
        <v>64</v>
      </c>
      <c r="B22" s="74"/>
      <c r="C22" s="30"/>
      <c r="D22" s="48" t="s">
        <v>65</v>
      </c>
      <c r="E22" s="41"/>
      <c r="G22" s="57"/>
    </row>
    <row r="23" spans="1:8" x14ac:dyDescent="0.75">
      <c r="A23" s="3"/>
      <c r="B23" s="4"/>
      <c r="C23" s="58"/>
      <c r="D23" s="58" t="s">
        <v>60</v>
      </c>
      <c r="E23" s="58"/>
      <c r="G23" s="57"/>
    </row>
    <row r="24" spans="1:8" ht="27.6" x14ac:dyDescent="0.8">
      <c r="A24" s="29" t="s">
        <v>29</v>
      </c>
      <c r="B24" s="11"/>
      <c r="C24" s="3"/>
      <c r="D24" s="59"/>
      <c r="E24" s="45"/>
      <c r="H24" s="32"/>
    </row>
    <row r="25" spans="1:8" ht="21" customHeight="1" x14ac:dyDescent="0.75">
      <c r="A25" s="73" t="s">
        <v>28</v>
      </c>
      <c r="B25" s="73"/>
      <c r="C25" s="3"/>
      <c r="D25" s="28"/>
      <c r="E25"/>
    </row>
    <row r="26" spans="1:8" x14ac:dyDescent="0.75">
      <c r="A26" s="73" t="s">
        <v>27</v>
      </c>
      <c r="B26" s="73"/>
      <c r="C26" s="3"/>
      <c r="D26"/>
      <c r="E26" s="28"/>
      <c r="H26" s="2"/>
    </row>
    <row r="27" spans="1:8" ht="21" customHeight="1" x14ac:dyDescent="0.75">
      <c r="A27" s="74" t="s">
        <v>67</v>
      </c>
      <c r="B27" s="74"/>
      <c r="E27" s="2"/>
      <c r="H27" s="2"/>
    </row>
    <row r="28" spans="1:8" ht="20.25" customHeight="1" x14ac:dyDescent="0.75">
      <c r="E28" s="4"/>
      <c r="H28" s="2"/>
    </row>
    <row r="29" spans="1:8" ht="20.25" customHeight="1" x14ac:dyDescent="0.75">
      <c r="A29" s="52"/>
      <c r="B29" s="53"/>
    </row>
    <row r="30" spans="1:8" ht="20.25" customHeight="1" x14ac:dyDescent="0.75">
      <c r="A30" s="3"/>
      <c r="B30" s="4"/>
      <c r="C30" s="73"/>
      <c r="D30" s="73"/>
      <c r="E30" s="73"/>
      <c r="H30" s="2"/>
    </row>
    <row r="31" spans="1:8" ht="20.25" customHeight="1" x14ac:dyDescent="0.75">
      <c r="A31" s="29"/>
      <c r="B31" s="11"/>
      <c r="C31" s="74"/>
      <c r="D31" s="74"/>
      <c r="E31" s="74"/>
      <c r="H31" s="2"/>
    </row>
    <row r="32" spans="1:8" x14ac:dyDescent="0.75">
      <c r="A32" s="73"/>
      <c r="B32" s="73"/>
      <c r="C32" s="3"/>
      <c r="D32" s="28"/>
      <c r="E32"/>
      <c r="H32" s="26"/>
    </row>
    <row r="33" spans="1:8" x14ac:dyDescent="0.75">
      <c r="A33" s="73"/>
      <c r="B33" s="73"/>
      <c r="C33" s="3"/>
      <c r="D33"/>
      <c r="E33" s="28"/>
      <c r="H33" s="26"/>
    </row>
    <row r="34" spans="1:8" x14ac:dyDescent="0.75">
      <c r="A34" s="74"/>
      <c r="B34" s="74"/>
      <c r="E34" s="2"/>
    </row>
    <row r="35" spans="1:8" x14ac:dyDescent="0.75">
      <c r="A35" s="80"/>
      <c r="B35" s="80"/>
      <c r="C35" s="80"/>
      <c r="D35" s="80"/>
      <c r="E35" s="80"/>
    </row>
    <row r="36" spans="1:8" x14ac:dyDescent="0.75">
      <c r="A36" s="80"/>
      <c r="B36" s="80"/>
      <c r="C36" s="80"/>
      <c r="D36" s="80"/>
      <c r="E36" s="80"/>
    </row>
    <row r="38" spans="1:8" x14ac:dyDescent="0.75">
      <c r="A38" s="80"/>
      <c r="B38" s="80"/>
      <c r="C38" s="80"/>
      <c r="D38" s="80"/>
      <c r="E38" s="80"/>
    </row>
  </sheetData>
  <mergeCells count="18">
    <mergeCell ref="A20:B20"/>
    <mergeCell ref="A21:B21"/>
    <mergeCell ref="A22:B22"/>
    <mergeCell ref="A25:B25"/>
    <mergeCell ref="A1:E1"/>
    <mergeCell ref="A2:E2"/>
    <mergeCell ref="A3:B3"/>
    <mergeCell ref="C3:E3"/>
    <mergeCell ref="A26:B26"/>
    <mergeCell ref="A27:B27"/>
    <mergeCell ref="A35:E35"/>
    <mergeCell ref="A36:E36"/>
    <mergeCell ref="A38:E38"/>
    <mergeCell ref="C30:E30"/>
    <mergeCell ref="C31:E31"/>
    <mergeCell ref="A32:B32"/>
    <mergeCell ref="A33:B33"/>
    <mergeCell ref="A34:B34"/>
  </mergeCells>
  <pageMargins left="0.7" right="0.7" top="0.75" bottom="0.75" header="0.3" footer="0.3"/>
  <pageSetup paperSize="9" scale="95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209C-DAAB-401C-8F3B-EF96E6404DE7}">
  <sheetPr>
    <pageSetUpPr fitToPage="1"/>
  </sheetPr>
  <dimension ref="A1:I40"/>
  <sheetViews>
    <sheetView topLeftCell="A10" workbookViewId="0">
      <selection activeCell="C21" sqref="C21:E25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3.8984375" style="1" customWidth="1"/>
    <col min="6" max="6" width="23.09765625" style="1" customWidth="1"/>
    <col min="7" max="7" width="11" style="26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5" t="s">
        <v>55</v>
      </c>
      <c r="B2" s="75"/>
      <c r="C2" s="75"/>
      <c r="D2" s="75"/>
      <c r="E2" s="75"/>
    </row>
    <row r="3" spans="1:9" x14ac:dyDescent="0.75">
      <c r="A3" s="76" t="s">
        <v>0</v>
      </c>
      <c r="B3" s="77"/>
      <c r="C3" s="76" t="s">
        <v>1</v>
      </c>
      <c r="D3" s="78"/>
      <c r="E3" s="77"/>
      <c r="F3" s="37" t="s">
        <v>17</v>
      </c>
      <c r="G3" s="54">
        <v>1000</v>
      </c>
    </row>
    <row r="4" spans="1:9" x14ac:dyDescent="0.75">
      <c r="A4" s="22" t="s">
        <v>5</v>
      </c>
      <c r="B4" s="15">
        <v>18666</v>
      </c>
      <c r="C4" s="5" t="s">
        <v>56</v>
      </c>
      <c r="D4" s="6" t="s">
        <v>17</v>
      </c>
      <c r="E4" s="16">
        <v>1000</v>
      </c>
      <c r="F4" s="1" t="s">
        <v>18</v>
      </c>
      <c r="G4" s="26">
        <v>1896</v>
      </c>
    </row>
    <row r="5" spans="1:9" s="37" customFormat="1" x14ac:dyDescent="0.75">
      <c r="A5" s="33" t="s">
        <v>12</v>
      </c>
      <c r="B5" s="34">
        <v>2000</v>
      </c>
      <c r="C5" s="5" t="s">
        <v>57</v>
      </c>
      <c r="D5" s="33" t="s">
        <v>58</v>
      </c>
      <c r="E5" s="36">
        <v>570</v>
      </c>
      <c r="F5" s="14" t="s">
        <v>44</v>
      </c>
      <c r="G5" s="55">
        <v>350</v>
      </c>
    </row>
    <row r="6" spans="1:9" x14ac:dyDescent="0.75">
      <c r="A6" s="23" t="s">
        <v>14</v>
      </c>
      <c r="B6" s="27">
        <v>800</v>
      </c>
      <c r="C6" s="5" t="s">
        <v>59</v>
      </c>
      <c r="D6" s="6" t="s">
        <v>18</v>
      </c>
      <c r="E6" s="16">
        <v>1896</v>
      </c>
      <c r="F6" s="1" t="s">
        <v>45</v>
      </c>
      <c r="G6" s="26">
        <v>220</v>
      </c>
    </row>
    <row r="7" spans="1:9" s="14" customFormat="1" x14ac:dyDescent="0.75">
      <c r="A7" s="13" t="s">
        <v>15</v>
      </c>
      <c r="B7" s="15">
        <v>500</v>
      </c>
      <c r="C7" s="5" t="s">
        <v>59</v>
      </c>
      <c r="D7" s="6" t="s">
        <v>46</v>
      </c>
      <c r="E7" s="16">
        <v>99</v>
      </c>
      <c r="F7" s="1" t="s">
        <v>46</v>
      </c>
      <c r="G7" s="26">
        <v>99</v>
      </c>
      <c r="H7" s="19"/>
    </row>
    <row r="8" spans="1:9" x14ac:dyDescent="0.75">
      <c r="A8" s="6" t="s">
        <v>20</v>
      </c>
      <c r="B8" s="15">
        <v>500</v>
      </c>
      <c r="C8" s="18"/>
      <c r="D8" s="6" t="s">
        <v>70</v>
      </c>
      <c r="E8" s="15">
        <v>219</v>
      </c>
      <c r="F8" s="1" t="s">
        <v>68</v>
      </c>
      <c r="G8" s="26">
        <v>219</v>
      </c>
    </row>
    <row r="9" spans="1:9" x14ac:dyDescent="0.75">
      <c r="A9" s="6" t="s">
        <v>16</v>
      </c>
      <c r="B9" s="15">
        <v>500</v>
      </c>
      <c r="C9" s="18"/>
      <c r="D9" s="6" t="s">
        <v>71</v>
      </c>
      <c r="E9" s="15">
        <v>170</v>
      </c>
      <c r="F9" s="1" t="s">
        <v>69</v>
      </c>
      <c r="G9" s="26">
        <v>170</v>
      </c>
    </row>
    <row r="10" spans="1:9" x14ac:dyDescent="0.75">
      <c r="A10" s="6" t="s">
        <v>43</v>
      </c>
      <c r="B10" s="15">
        <v>300</v>
      </c>
      <c r="C10" s="18" t="s">
        <v>75</v>
      </c>
      <c r="D10" s="6" t="s">
        <v>72</v>
      </c>
      <c r="E10" s="15">
        <v>2199</v>
      </c>
      <c r="F10" s="1" t="s">
        <v>73</v>
      </c>
      <c r="G10" s="26">
        <v>2199</v>
      </c>
    </row>
    <row r="11" spans="1:9" x14ac:dyDescent="0.75">
      <c r="A11" s="6" t="s">
        <v>25</v>
      </c>
      <c r="B11" s="15">
        <v>1000</v>
      </c>
      <c r="C11" s="18"/>
      <c r="D11" s="6" t="s">
        <v>76</v>
      </c>
      <c r="E11" s="15">
        <v>65</v>
      </c>
      <c r="F11" s="1" t="s">
        <v>74</v>
      </c>
      <c r="G11" s="26">
        <v>65</v>
      </c>
    </row>
    <row r="12" spans="1:9" x14ac:dyDescent="0.75">
      <c r="A12" s="6"/>
      <c r="B12" s="15"/>
      <c r="C12" s="18" t="s">
        <v>77</v>
      </c>
      <c r="D12" s="6" t="s">
        <v>31</v>
      </c>
      <c r="E12" s="15">
        <v>3886.5</v>
      </c>
      <c r="F12" s="1" t="s">
        <v>18</v>
      </c>
      <c r="G12" s="26">
        <v>2109</v>
      </c>
    </row>
    <row r="13" spans="1:9" x14ac:dyDescent="0.75">
      <c r="A13" s="6"/>
      <c r="B13" s="15"/>
      <c r="C13" s="18" t="s">
        <v>80</v>
      </c>
      <c r="D13" s="6" t="s">
        <v>18</v>
      </c>
      <c r="E13" s="15">
        <v>2109</v>
      </c>
      <c r="F13" s="1" t="s">
        <v>31</v>
      </c>
      <c r="G13" s="26">
        <v>3886.5</v>
      </c>
    </row>
    <row r="14" spans="1:9" ht="25.8" thickBot="1" x14ac:dyDescent="0.8">
      <c r="A14" s="21" t="s">
        <v>2</v>
      </c>
      <c r="B14" s="20">
        <f>SUM(B4:B13)</f>
        <v>24266</v>
      </c>
      <c r="C14" s="17"/>
      <c r="D14" s="21" t="s">
        <v>3</v>
      </c>
      <c r="E14" s="50">
        <f>SUM(E4:E13)</f>
        <v>12213.5</v>
      </c>
      <c r="G14" s="26">
        <f>SUM(G3:G13)</f>
        <v>12213.5</v>
      </c>
    </row>
    <row r="15" spans="1:9" ht="25.8" thickTop="1" x14ac:dyDescent="0.75">
      <c r="A15" s="3"/>
      <c r="B15" s="3"/>
      <c r="C15" s="10"/>
      <c r="D15" s="3" t="s">
        <v>0</v>
      </c>
      <c r="E15" s="12">
        <v>24266</v>
      </c>
      <c r="G15" s="56"/>
      <c r="I15" s="1" t="s">
        <v>26</v>
      </c>
    </row>
    <row r="16" spans="1:9" x14ac:dyDescent="0.75">
      <c r="A16" s="3"/>
      <c r="B16" s="3"/>
      <c r="C16" s="10"/>
      <c r="D16" s="3" t="s">
        <v>1</v>
      </c>
      <c r="E16" s="12">
        <v>12213.5</v>
      </c>
      <c r="G16" s="57"/>
      <c r="H16" s="1" t="s">
        <v>26</v>
      </c>
    </row>
    <row r="17" spans="1:8" ht="25.8" thickBot="1" x14ac:dyDescent="0.8">
      <c r="A17" s="3"/>
      <c r="B17" s="3"/>
      <c r="C17" s="10"/>
      <c r="D17" s="24" t="s">
        <v>9</v>
      </c>
      <c r="E17" s="42">
        <f>SUM(E15-E16)</f>
        <v>12052.5</v>
      </c>
      <c r="G17" s="57"/>
    </row>
    <row r="18" spans="1:8" ht="25.8" thickTop="1" x14ac:dyDescent="0.75">
      <c r="A18" s="29" t="s">
        <v>6</v>
      </c>
      <c r="B18" s="29"/>
      <c r="C18" s="30"/>
      <c r="D18" s="31"/>
      <c r="E18" s="38"/>
      <c r="G18" s="57"/>
    </row>
    <row r="19" spans="1:8" x14ac:dyDescent="0.75">
      <c r="A19" s="29" t="s">
        <v>10</v>
      </c>
      <c r="B19" s="29"/>
      <c r="C19" s="30"/>
      <c r="D19" s="31" t="s">
        <v>19</v>
      </c>
      <c r="E19"/>
      <c r="G19" s="57"/>
    </row>
    <row r="20" spans="1:8" x14ac:dyDescent="0.75">
      <c r="A20" s="29" t="s">
        <v>21</v>
      </c>
      <c r="B20" s="29"/>
      <c r="C20" s="30"/>
      <c r="D20" s="41" t="s">
        <v>11</v>
      </c>
      <c r="E20"/>
      <c r="G20" s="57"/>
    </row>
    <row r="21" spans="1:8" x14ac:dyDescent="0.75">
      <c r="A21" s="29"/>
      <c r="B21" s="29"/>
      <c r="C21" s="30"/>
      <c r="D21" s="44"/>
      <c r="E21"/>
      <c r="G21" s="57"/>
    </row>
    <row r="22" spans="1:8" x14ac:dyDescent="0.75">
      <c r="A22" s="73" t="s">
        <v>62</v>
      </c>
      <c r="B22" s="73"/>
      <c r="C22" s="30"/>
      <c r="D22" s="46" t="s">
        <v>61</v>
      </c>
      <c r="E22" s="39"/>
      <c r="G22" s="57"/>
    </row>
    <row r="23" spans="1:8" x14ac:dyDescent="0.75">
      <c r="A23" s="73" t="s">
        <v>63</v>
      </c>
      <c r="B23" s="73"/>
      <c r="C23" s="30"/>
      <c r="D23" s="47" t="s">
        <v>66</v>
      </c>
      <c r="E23" s="40"/>
      <c r="G23" s="57"/>
    </row>
    <row r="24" spans="1:8" x14ac:dyDescent="0.75">
      <c r="A24" s="74" t="s">
        <v>78</v>
      </c>
      <c r="B24" s="74"/>
      <c r="C24" s="30"/>
      <c r="D24" s="48" t="s">
        <v>65</v>
      </c>
      <c r="E24" s="41"/>
      <c r="G24" s="57"/>
    </row>
    <row r="25" spans="1:8" x14ac:dyDescent="0.75">
      <c r="A25" s="3"/>
      <c r="B25" s="4"/>
      <c r="C25" s="58"/>
      <c r="D25" s="58" t="s">
        <v>78</v>
      </c>
      <c r="E25" s="58"/>
      <c r="G25" s="57"/>
    </row>
    <row r="26" spans="1:8" ht="27.6" x14ac:dyDescent="0.8">
      <c r="A26" s="29" t="s">
        <v>29</v>
      </c>
      <c r="B26" s="11"/>
      <c r="C26" s="3"/>
      <c r="D26" s="59"/>
      <c r="E26" s="45"/>
      <c r="H26" s="32"/>
    </row>
    <row r="27" spans="1:8" ht="21" customHeight="1" x14ac:dyDescent="0.75">
      <c r="A27" s="73" t="s">
        <v>28</v>
      </c>
      <c r="B27" s="73"/>
      <c r="C27" s="3"/>
      <c r="D27" s="28"/>
      <c r="E27"/>
    </row>
    <row r="28" spans="1:8" x14ac:dyDescent="0.75">
      <c r="A28" s="73" t="s">
        <v>27</v>
      </c>
      <c r="B28" s="73"/>
      <c r="C28" s="3"/>
      <c r="D28"/>
      <c r="E28" s="28"/>
      <c r="H28" s="2"/>
    </row>
    <row r="29" spans="1:8" ht="21" customHeight="1" x14ac:dyDescent="0.75">
      <c r="A29" s="74" t="s">
        <v>79</v>
      </c>
      <c r="B29" s="74"/>
      <c r="E29" s="2"/>
      <c r="H29" s="2"/>
    </row>
    <row r="30" spans="1:8" ht="20.25" customHeight="1" x14ac:dyDescent="0.75">
      <c r="E30" s="4"/>
      <c r="H30" s="2"/>
    </row>
    <row r="31" spans="1:8" ht="20.25" customHeight="1" x14ac:dyDescent="0.75">
      <c r="A31" s="52"/>
      <c r="B31" s="53"/>
    </row>
    <row r="32" spans="1:8" ht="20.25" customHeight="1" x14ac:dyDescent="0.75">
      <c r="A32" s="3"/>
      <c r="B32" s="4"/>
      <c r="C32" s="73"/>
      <c r="D32" s="73"/>
      <c r="E32" s="73"/>
      <c r="H32" s="2"/>
    </row>
    <row r="33" spans="1:8" ht="20.25" customHeight="1" x14ac:dyDescent="0.75">
      <c r="A33" s="29"/>
      <c r="B33" s="11"/>
      <c r="C33" s="74"/>
      <c r="D33" s="74"/>
      <c r="E33" s="74"/>
      <c r="H33" s="2"/>
    </row>
    <row r="34" spans="1:8" x14ac:dyDescent="0.75">
      <c r="A34" s="73"/>
      <c r="B34" s="73"/>
      <c r="C34" s="3"/>
      <c r="D34" s="28"/>
      <c r="E34"/>
      <c r="H34" s="26"/>
    </row>
    <row r="35" spans="1:8" x14ac:dyDescent="0.75">
      <c r="A35" s="73"/>
      <c r="B35" s="73"/>
      <c r="C35" s="3"/>
      <c r="D35"/>
      <c r="E35" s="28"/>
      <c r="H35" s="26"/>
    </row>
    <row r="36" spans="1:8" x14ac:dyDescent="0.75">
      <c r="A36" s="74"/>
      <c r="B36" s="74"/>
      <c r="E36" s="2"/>
    </row>
    <row r="37" spans="1:8" x14ac:dyDescent="0.75">
      <c r="A37" s="80"/>
      <c r="B37" s="80"/>
      <c r="C37" s="80"/>
      <c r="D37" s="80"/>
      <c r="E37" s="80"/>
    </row>
    <row r="38" spans="1:8" x14ac:dyDescent="0.75">
      <c r="A38" s="80"/>
      <c r="B38" s="80"/>
      <c r="C38" s="80"/>
      <c r="D38" s="80"/>
      <c r="E38" s="80"/>
    </row>
    <row r="40" spans="1:8" x14ac:dyDescent="0.75">
      <c r="A40" s="80"/>
      <c r="B40" s="80"/>
      <c r="C40" s="80"/>
      <c r="D40" s="80"/>
      <c r="E40" s="80"/>
    </row>
  </sheetData>
  <mergeCells count="18">
    <mergeCell ref="A38:E38"/>
    <mergeCell ref="A40:E40"/>
    <mergeCell ref="A22:B22"/>
    <mergeCell ref="A23:B23"/>
    <mergeCell ref="A24:B24"/>
    <mergeCell ref="A27:B27"/>
    <mergeCell ref="C32:E32"/>
    <mergeCell ref="C33:E33"/>
    <mergeCell ref="A34:B34"/>
    <mergeCell ref="A35:B35"/>
    <mergeCell ref="A36:B36"/>
    <mergeCell ref="A28:B28"/>
    <mergeCell ref="A29:B29"/>
    <mergeCell ref="A1:E1"/>
    <mergeCell ref="A2:E2"/>
    <mergeCell ref="A3:B3"/>
    <mergeCell ref="C3:E3"/>
    <mergeCell ref="A37:E37"/>
  </mergeCells>
  <pageMargins left="0.7" right="0.7" top="0.75" bottom="0.75" header="0.3" footer="0.3"/>
  <pageSetup paperSize="9" scale="56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7928-E864-4915-BDB2-E5C2F37E18A1}">
  <sheetPr>
    <pageSetUpPr fitToPage="1"/>
  </sheetPr>
  <dimension ref="A1:I38"/>
  <sheetViews>
    <sheetView topLeftCell="A13" workbookViewId="0">
      <selection activeCell="F26" sqref="F26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3.8984375" style="1" customWidth="1"/>
    <col min="6" max="6" width="23.09765625" style="1" customWidth="1"/>
    <col min="7" max="7" width="11" style="26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5" t="s">
        <v>82</v>
      </c>
      <c r="B2" s="75"/>
      <c r="C2" s="75"/>
      <c r="D2" s="75"/>
      <c r="E2" s="75"/>
    </row>
    <row r="3" spans="1:9" x14ac:dyDescent="0.75">
      <c r="A3" s="76" t="s">
        <v>0</v>
      </c>
      <c r="B3" s="77"/>
      <c r="C3" s="76" t="s">
        <v>1</v>
      </c>
      <c r="D3" s="78"/>
      <c r="E3" s="77"/>
      <c r="F3" s="37" t="s">
        <v>81</v>
      </c>
      <c r="G3" s="54"/>
    </row>
    <row r="4" spans="1:9" x14ac:dyDescent="0.75">
      <c r="A4" s="22" t="s">
        <v>5</v>
      </c>
      <c r="B4" s="15">
        <v>12052.5</v>
      </c>
      <c r="C4" s="5" t="s">
        <v>78</v>
      </c>
      <c r="D4" s="6" t="s">
        <v>17</v>
      </c>
      <c r="E4" s="16">
        <v>1000</v>
      </c>
    </row>
    <row r="5" spans="1:9" s="37" customFormat="1" x14ac:dyDescent="0.75">
      <c r="A5" s="33" t="s">
        <v>12</v>
      </c>
      <c r="B5" s="34">
        <v>2500</v>
      </c>
      <c r="C5" s="5"/>
      <c r="D5" s="33"/>
      <c r="E5" s="36"/>
      <c r="F5" s="14"/>
      <c r="G5" s="55"/>
    </row>
    <row r="6" spans="1:9" x14ac:dyDescent="0.75">
      <c r="A6" s="23" t="s">
        <v>14</v>
      </c>
      <c r="B6" s="27">
        <v>800</v>
      </c>
      <c r="C6" s="5"/>
      <c r="D6" s="6"/>
      <c r="E6" s="16"/>
    </row>
    <row r="7" spans="1:9" s="14" customFormat="1" x14ac:dyDescent="0.75">
      <c r="A7" s="13" t="s">
        <v>15</v>
      </c>
      <c r="B7" s="15">
        <v>500</v>
      </c>
      <c r="C7" s="5"/>
      <c r="D7" s="6"/>
      <c r="E7" s="16"/>
      <c r="F7" s="1"/>
      <c r="G7" s="26"/>
      <c r="H7" s="19"/>
    </row>
    <row r="8" spans="1:9" x14ac:dyDescent="0.75">
      <c r="A8" s="6" t="s">
        <v>20</v>
      </c>
      <c r="B8" s="15">
        <v>500</v>
      </c>
      <c r="C8" s="18"/>
      <c r="D8" s="6"/>
      <c r="E8" s="15"/>
    </row>
    <row r="9" spans="1:9" x14ac:dyDescent="0.75">
      <c r="A9" s="6" t="s">
        <v>16</v>
      </c>
      <c r="B9" s="15">
        <v>500</v>
      </c>
      <c r="C9" s="18"/>
      <c r="D9" s="6"/>
      <c r="E9" s="15"/>
    </row>
    <row r="10" spans="1:9" x14ac:dyDescent="0.75">
      <c r="A10" s="6" t="s">
        <v>43</v>
      </c>
      <c r="B10" s="15">
        <v>300</v>
      </c>
      <c r="C10" s="18"/>
      <c r="D10" s="6"/>
      <c r="E10" s="15"/>
    </row>
    <row r="11" spans="1:9" x14ac:dyDescent="0.75">
      <c r="A11" s="6" t="s">
        <v>25</v>
      </c>
      <c r="B11" s="15">
        <v>1000</v>
      </c>
      <c r="C11" s="18"/>
      <c r="D11" s="6"/>
      <c r="E11" s="15"/>
    </row>
    <row r="12" spans="1:9" ht="25.8" thickBot="1" x14ac:dyDescent="0.8">
      <c r="A12" s="21" t="s">
        <v>2</v>
      </c>
      <c r="B12" s="20">
        <f>SUM(B4:B11)</f>
        <v>18152.5</v>
      </c>
      <c r="C12" s="17"/>
      <c r="D12" s="21"/>
      <c r="E12" s="50">
        <f>SUM(E4:E11)</f>
        <v>1000</v>
      </c>
    </row>
    <row r="13" spans="1:9" ht="25.8" thickTop="1" x14ac:dyDescent="0.75">
      <c r="A13" s="3"/>
      <c r="B13" s="3"/>
      <c r="C13" s="10"/>
      <c r="D13" s="3" t="s">
        <v>0</v>
      </c>
      <c r="E13" s="12">
        <v>18152.5</v>
      </c>
      <c r="G13" s="56"/>
      <c r="I13" s="1" t="s">
        <v>26</v>
      </c>
    </row>
    <row r="14" spans="1:9" x14ac:dyDescent="0.75">
      <c r="A14" s="3"/>
      <c r="B14" s="3"/>
      <c r="C14" s="10"/>
      <c r="D14" s="3" t="s">
        <v>1</v>
      </c>
      <c r="E14" s="12">
        <v>1000</v>
      </c>
      <c r="G14" s="57"/>
      <c r="H14" s="1" t="s">
        <v>26</v>
      </c>
    </row>
    <row r="15" spans="1:9" ht="25.8" thickBot="1" x14ac:dyDescent="0.8">
      <c r="A15" s="3"/>
      <c r="B15" s="3"/>
      <c r="C15" s="10"/>
      <c r="D15" s="24" t="s">
        <v>9</v>
      </c>
      <c r="E15" s="42">
        <f>SUM(E13-E14)</f>
        <v>17152.5</v>
      </c>
      <c r="G15" s="57"/>
    </row>
    <row r="16" spans="1:9" ht="25.8" thickTop="1" x14ac:dyDescent="0.75">
      <c r="A16" s="29" t="s">
        <v>6</v>
      </c>
      <c r="B16" s="29"/>
      <c r="C16" s="30"/>
      <c r="D16" s="31"/>
      <c r="E16" s="38"/>
      <c r="G16" s="57"/>
    </row>
    <row r="17" spans="1:8" x14ac:dyDescent="0.75">
      <c r="A17" s="29" t="s">
        <v>10</v>
      </c>
      <c r="B17" s="29"/>
      <c r="C17" s="30"/>
      <c r="D17" s="31" t="s">
        <v>19</v>
      </c>
      <c r="E17"/>
      <c r="G17" s="57"/>
    </row>
    <row r="18" spans="1:8" x14ac:dyDescent="0.75">
      <c r="A18" s="29" t="s">
        <v>21</v>
      </c>
      <c r="B18" s="29"/>
      <c r="C18" s="30"/>
      <c r="D18" s="41" t="s">
        <v>11</v>
      </c>
      <c r="E18"/>
      <c r="G18" s="57"/>
    </row>
    <row r="19" spans="1:8" x14ac:dyDescent="0.75">
      <c r="A19" s="29"/>
      <c r="B19" s="29"/>
      <c r="C19" s="30"/>
      <c r="D19" s="44"/>
      <c r="E19"/>
      <c r="G19" s="57"/>
    </row>
    <row r="20" spans="1:8" x14ac:dyDescent="0.75">
      <c r="A20" s="73" t="s">
        <v>62</v>
      </c>
      <c r="B20" s="73"/>
      <c r="C20" s="30"/>
      <c r="D20" s="46" t="s">
        <v>61</v>
      </c>
      <c r="E20" s="39"/>
      <c r="G20" s="57"/>
    </row>
    <row r="21" spans="1:8" x14ac:dyDescent="0.75">
      <c r="A21" s="73" t="s">
        <v>63</v>
      </c>
      <c r="B21" s="73"/>
      <c r="C21" s="30"/>
      <c r="D21" s="47" t="s">
        <v>66</v>
      </c>
      <c r="E21" s="40"/>
      <c r="G21" s="57"/>
    </row>
    <row r="22" spans="1:8" x14ac:dyDescent="0.75">
      <c r="A22" s="74" t="s">
        <v>83</v>
      </c>
      <c r="B22" s="74"/>
      <c r="C22" s="30"/>
      <c r="D22" s="48" t="s">
        <v>65</v>
      </c>
      <c r="E22" s="41"/>
      <c r="G22" s="57"/>
    </row>
    <row r="23" spans="1:8" x14ac:dyDescent="0.75">
      <c r="A23" s="3"/>
      <c r="B23" s="4"/>
      <c r="C23" s="60"/>
      <c r="D23" s="60" t="s">
        <v>84</v>
      </c>
      <c r="E23" s="60"/>
      <c r="G23" s="57"/>
    </row>
    <row r="24" spans="1:8" ht="27.6" x14ac:dyDescent="0.8">
      <c r="A24" s="29" t="s">
        <v>29</v>
      </c>
      <c r="B24" s="11"/>
      <c r="C24" s="3"/>
      <c r="D24" s="61"/>
      <c r="E24" s="45"/>
      <c r="H24" s="32"/>
    </row>
    <row r="25" spans="1:8" ht="21" customHeight="1" x14ac:dyDescent="0.75">
      <c r="A25" s="73" t="s">
        <v>28</v>
      </c>
      <c r="B25" s="73"/>
      <c r="C25" s="3"/>
      <c r="D25" s="28"/>
      <c r="E25"/>
    </row>
    <row r="26" spans="1:8" x14ac:dyDescent="0.75">
      <c r="A26" s="73" t="s">
        <v>27</v>
      </c>
      <c r="B26" s="73"/>
      <c r="C26" s="3"/>
      <c r="D26"/>
      <c r="E26" s="28"/>
      <c r="H26" s="2"/>
    </row>
    <row r="27" spans="1:8" ht="21" customHeight="1" x14ac:dyDescent="0.75">
      <c r="A27" s="74" t="s">
        <v>85</v>
      </c>
      <c r="B27" s="74"/>
      <c r="E27" s="2"/>
      <c r="H27" s="2"/>
    </row>
    <row r="28" spans="1:8" ht="20.25" customHeight="1" x14ac:dyDescent="0.75">
      <c r="E28" s="4"/>
      <c r="H28" s="2"/>
    </row>
    <row r="29" spans="1:8" ht="20.25" customHeight="1" x14ac:dyDescent="0.75">
      <c r="A29" s="52"/>
      <c r="B29" s="53"/>
    </row>
    <row r="30" spans="1:8" ht="20.25" customHeight="1" x14ac:dyDescent="0.75">
      <c r="A30" s="3"/>
      <c r="B30" s="4"/>
      <c r="C30" s="73"/>
      <c r="D30" s="73"/>
      <c r="E30" s="73"/>
      <c r="H30" s="2"/>
    </row>
    <row r="31" spans="1:8" ht="20.25" customHeight="1" x14ac:dyDescent="0.75">
      <c r="A31" s="29"/>
      <c r="B31" s="11"/>
      <c r="C31" s="74"/>
      <c r="D31" s="74"/>
      <c r="E31" s="74"/>
      <c r="H31" s="2"/>
    </row>
    <row r="32" spans="1:8" x14ac:dyDescent="0.75">
      <c r="A32" s="73"/>
      <c r="B32" s="73"/>
      <c r="C32" s="3"/>
      <c r="D32" s="28"/>
      <c r="E32"/>
      <c r="H32" s="26"/>
    </row>
    <row r="33" spans="1:8" x14ac:dyDescent="0.75">
      <c r="A33" s="73"/>
      <c r="B33" s="73"/>
      <c r="C33" s="3"/>
      <c r="D33"/>
      <c r="E33" s="28"/>
      <c r="H33" s="26"/>
    </row>
    <row r="34" spans="1:8" x14ac:dyDescent="0.75">
      <c r="A34" s="74"/>
      <c r="B34" s="74"/>
      <c r="E34" s="2"/>
    </row>
    <row r="35" spans="1:8" x14ac:dyDescent="0.75">
      <c r="A35" s="80"/>
      <c r="B35" s="80"/>
      <c r="C35" s="80"/>
      <c r="D35" s="80"/>
      <c r="E35" s="80"/>
    </row>
    <row r="36" spans="1:8" x14ac:dyDescent="0.75">
      <c r="A36" s="80"/>
      <c r="B36" s="80"/>
      <c r="C36" s="80"/>
      <c r="D36" s="80"/>
      <c r="E36" s="80"/>
    </row>
    <row r="38" spans="1:8" x14ac:dyDescent="0.75">
      <c r="A38" s="80"/>
      <c r="B38" s="80"/>
      <c r="C38" s="80"/>
      <c r="D38" s="80"/>
      <c r="E38" s="80"/>
    </row>
  </sheetData>
  <mergeCells count="18">
    <mergeCell ref="A38:E38"/>
    <mergeCell ref="A22:B22"/>
    <mergeCell ref="A25:B25"/>
    <mergeCell ref="A26:B26"/>
    <mergeCell ref="A27:B27"/>
    <mergeCell ref="C30:E30"/>
    <mergeCell ref="C31:E31"/>
    <mergeCell ref="A32:B32"/>
    <mergeCell ref="A33:B33"/>
    <mergeCell ref="A34:B34"/>
    <mergeCell ref="A35:E35"/>
    <mergeCell ref="A36:E36"/>
    <mergeCell ref="A21:B21"/>
    <mergeCell ref="A1:E1"/>
    <mergeCell ref="A2:E2"/>
    <mergeCell ref="A3:B3"/>
    <mergeCell ref="C3:E3"/>
    <mergeCell ref="A20:B20"/>
  </mergeCells>
  <pageMargins left="0.7" right="0.7" top="0.75" bottom="0.75" header="0.3" footer="0.3"/>
  <pageSetup paperSize="9" scale="56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B7DB-DE58-4D50-ADAB-22C45B42D3AF}">
  <dimension ref="A1:E37"/>
  <sheetViews>
    <sheetView workbookViewId="0">
      <selection activeCell="E10" sqref="E10"/>
    </sheetView>
  </sheetViews>
  <sheetFormatPr defaultColWidth="9" defaultRowHeight="25.2" x14ac:dyDescent="0.75"/>
  <cols>
    <col min="1" max="1" width="41.796875" style="1" customWidth="1"/>
    <col min="2" max="2" width="28.5" style="1" customWidth="1"/>
    <col min="3" max="3" width="11" style="26" bestFit="1" customWidth="1"/>
    <col min="4" max="4" width="14.09765625" style="1" customWidth="1"/>
    <col min="5" max="5" width="10.8984375" style="1" customWidth="1"/>
    <col min="6" max="16384" width="9" style="1"/>
  </cols>
  <sheetData>
    <row r="1" spans="1:5" x14ac:dyDescent="0.75">
      <c r="A1" s="75" t="s">
        <v>4</v>
      </c>
      <c r="B1" s="75"/>
    </row>
    <row r="2" spans="1:5" x14ac:dyDescent="0.75">
      <c r="A2" s="75"/>
      <c r="B2" s="75"/>
    </row>
    <row r="3" spans="1:5" x14ac:dyDescent="0.75">
      <c r="A3" s="76" t="s">
        <v>0</v>
      </c>
      <c r="B3" s="77"/>
      <c r="C3" s="54"/>
    </row>
    <row r="4" spans="1:5" s="37" customFormat="1" x14ac:dyDescent="0.75">
      <c r="A4" s="33" t="s">
        <v>12</v>
      </c>
      <c r="B4" s="34">
        <v>2500</v>
      </c>
      <c r="C4" s="55"/>
    </row>
    <row r="5" spans="1:5" x14ac:dyDescent="0.75">
      <c r="A5" s="23" t="s">
        <v>14</v>
      </c>
      <c r="B5" s="27">
        <v>800</v>
      </c>
    </row>
    <row r="6" spans="1:5" s="14" customFormat="1" x14ac:dyDescent="0.75">
      <c r="A6" s="13" t="s">
        <v>15</v>
      </c>
      <c r="B6" s="15">
        <v>500</v>
      </c>
      <c r="C6" s="26"/>
      <c r="D6" s="19"/>
    </row>
    <row r="7" spans="1:5" x14ac:dyDescent="0.75">
      <c r="A7" s="6" t="s">
        <v>20</v>
      </c>
      <c r="B7" s="15">
        <v>500</v>
      </c>
    </row>
    <row r="8" spans="1:5" x14ac:dyDescent="0.75">
      <c r="A8" s="6" t="s">
        <v>16</v>
      </c>
      <c r="B8" s="15">
        <v>500</v>
      </c>
    </row>
    <row r="9" spans="1:5" x14ac:dyDescent="0.75">
      <c r="A9" s="6" t="s">
        <v>43</v>
      </c>
      <c r="B9" s="15">
        <v>300</v>
      </c>
    </row>
    <row r="10" spans="1:5" x14ac:dyDescent="0.75">
      <c r="A10" s="6" t="s">
        <v>25</v>
      </c>
      <c r="B10" s="15">
        <v>1000</v>
      </c>
    </row>
    <row r="11" spans="1:5" ht="25.8" thickBot="1" x14ac:dyDescent="0.8">
      <c r="A11" s="21" t="s">
        <v>2</v>
      </c>
      <c r="B11" s="20">
        <f>SUM(B4:B10)</f>
        <v>6100</v>
      </c>
    </row>
    <row r="12" spans="1:5" ht="25.8" thickTop="1" x14ac:dyDescent="0.75">
      <c r="A12" s="3"/>
      <c r="B12" s="3"/>
      <c r="C12" s="56"/>
      <c r="E12" s="1" t="s">
        <v>26</v>
      </c>
    </row>
    <row r="13" spans="1:5" x14ac:dyDescent="0.75">
      <c r="A13" s="3"/>
      <c r="B13" s="3"/>
      <c r="C13" s="57"/>
      <c r="D13" s="1" t="s">
        <v>26</v>
      </c>
    </row>
    <row r="14" spans="1:5" x14ac:dyDescent="0.75">
      <c r="A14" s="3"/>
      <c r="B14" s="3"/>
      <c r="C14" s="57"/>
    </row>
    <row r="15" spans="1:5" x14ac:dyDescent="0.75">
      <c r="A15" s="29" t="s">
        <v>6</v>
      </c>
      <c r="B15" s="29"/>
      <c r="C15" s="57"/>
    </row>
    <row r="16" spans="1:5" x14ac:dyDescent="0.75">
      <c r="A16" s="29" t="s">
        <v>10</v>
      </c>
      <c r="B16" s="29"/>
      <c r="C16" s="57"/>
    </row>
    <row r="17" spans="1:4" x14ac:dyDescent="0.75">
      <c r="A17" s="29" t="s">
        <v>21</v>
      </c>
      <c r="B17" s="29"/>
      <c r="C17" s="57"/>
    </row>
    <row r="18" spans="1:4" x14ac:dyDescent="0.75">
      <c r="A18" s="29"/>
      <c r="B18" s="29"/>
      <c r="C18" s="57"/>
    </row>
    <row r="19" spans="1:4" x14ac:dyDescent="0.75">
      <c r="A19" s="73" t="s">
        <v>62</v>
      </c>
      <c r="B19" s="73"/>
      <c r="C19" s="57"/>
    </row>
    <row r="20" spans="1:4" x14ac:dyDescent="0.75">
      <c r="A20" s="73" t="s">
        <v>63</v>
      </c>
      <c r="B20" s="73"/>
      <c r="C20" s="57"/>
    </row>
    <row r="21" spans="1:4" x14ac:dyDescent="0.75">
      <c r="A21" s="74" t="s">
        <v>78</v>
      </c>
      <c r="B21" s="74"/>
      <c r="C21" s="57"/>
    </row>
    <row r="22" spans="1:4" x14ac:dyDescent="0.75">
      <c r="A22" s="3"/>
      <c r="B22" s="4"/>
      <c r="C22" s="57"/>
    </row>
    <row r="23" spans="1:4" ht="27.6" x14ac:dyDescent="0.8">
      <c r="A23" s="29" t="s">
        <v>29</v>
      </c>
      <c r="B23" s="11"/>
      <c r="D23" s="32"/>
    </row>
    <row r="24" spans="1:4" ht="21" customHeight="1" x14ac:dyDescent="0.75">
      <c r="A24" s="73" t="s">
        <v>28</v>
      </c>
      <c r="B24" s="73"/>
    </row>
    <row r="25" spans="1:4" x14ac:dyDescent="0.75">
      <c r="A25" s="73" t="s">
        <v>27</v>
      </c>
      <c r="B25" s="73"/>
      <c r="D25" s="2"/>
    </row>
    <row r="26" spans="1:4" ht="21" customHeight="1" x14ac:dyDescent="0.75">
      <c r="A26" s="74" t="s">
        <v>79</v>
      </c>
      <c r="B26" s="74"/>
      <c r="D26" s="2"/>
    </row>
    <row r="27" spans="1:4" ht="20.25" customHeight="1" x14ac:dyDescent="0.75">
      <c r="D27" s="2"/>
    </row>
    <row r="28" spans="1:4" ht="20.25" customHeight="1" x14ac:dyDescent="0.75">
      <c r="A28" s="52"/>
      <c r="B28" s="53"/>
    </row>
    <row r="29" spans="1:4" ht="20.25" customHeight="1" x14ac:dyDescent="0.75">
      <c r="A29" s="3"/>
      <c r="B29" s="4"/>
      <c r="D29" s="2"/>
    </row>
    <row r="30" spans="1:4" ht="20.25" customHeight="1" x14ac:dyDescent="0.75">
      <c r="A30" s="29"/>
      <c r="B30" s="11"/>
      <c r="D30" s="2"/>
    </row>
    <row r="31" spans="1:4" x14ac:dyDescent="0.75">
      <c r="A31" s="73"/>
      <c r="B31" s="73"/>
      <c r="D31" s="26"/>
    </row>
    <row r="32" spans="1:4" x14ac:dyDescent="0.75">
      <c r="A32" s="73"/>
      <c r="B32" s="73"/>
      <c r="D32" s="26"/>
    </row>
    <row r="33" spans="1:2" x14ac:dyDescent="0.75">
      <c r="A33" s="74"/>
      <c r="B33" s="74"/>
    </row>
    <row r="34" spans="1:2" x14ac:dyDescent="0.75">
      <c r="A34" s="80"/>
      <c r="B34" s="80"/>
    </row>
    <row r="35" spans="1:2" x14ac:dyDescent="0.75">
      <c r="A35" s="80"/>
      <c r="B35" s="80"/>
    </row>
    <row r="37" spans="1:2" x14ac:dyDescent="0.75">
      <c r="A37" s="80"/>
      <c r="B37" s="80"/>
    </row>
  </sheetData>
  <mergeCells count="15">
    <mergeCell ref="A1:B1"/>
    <mergeCell ref="A2:B2"/>
    <mergeCell ref="A3:B3"/>
    <mergeCell ref="A19:B19"/>
    <mergeCell ref="A20:B20"/>
    <mergeCell ref="A37:B37"/>
    <mergeCell ref="A21:B21"/>
    <mergeCell ref="A24:B24"/>
    <mergeCell ref="A25:B25"/>
    <mergeCell ref="A26:B26"/>
    <mergeCell ref="A31:B31"/>
    <mergeCell ref="A32:B32"/>
    <mergeCell ref="A33:B33"/>
    <mergeCell ref="A34:B34"/>
    <mergeCell ref="A35:B35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D7BB-6FED-4C71-BFCF-CF7A64608902}">
  <sheetPr>
    <pageSetUpPr fitToPage="1"/>
  </sheetPr>
  <dimension ref="A1:I40"/>
  <sheetViews>
    <sheetView workbookViewId="0">
      <selection activeCell="F36" sqref="F36"/>
    </sheetView>
  </sheetViews>
  <sheetFormatPr defaultColWidth="9" defaultRowHeight="25.2" x14ac:dyDescent="0.75"/>
  <cols>
    <col min="1" max="1" width="24" style="1" customWidth="1"/>
    <col min="2" max="2" width="11.69921875" style="1" customWidth="1"/>
    <col min="3" max="3" width="9.3984375" style="1" customWidth="1"/>
    <col min="4" max="4" width="27.3984375" style="1" customWidth="1"/>
    <col min="5" max="5" width="13.8984375" style="1" customWidth="1"/>
    <col min="6" max="6" width="23.09765625" style="1" customWidth="1"/>
    <col min="7" max="7" width="11" style="26" bestFit="1" customWidth="1"/>
    <col min="8" max="8" width="14.09765625" style="1" customWidth="1"/>
    <col min="9" max="9" width="10.8984375" style="1" customWidth="1"/>
    <col min="10" max="16384" width="9" style="1"/>
  </cols>
  <sheetData>
    <row r="1" spans="1:9" x14ac:dyDescent="0.75">
      <c r="A1" s="75" t="s">
        <v>4</v>
      </c>
      <c r="B1" s="75"/>
      <c r="C1" s="75"/>
      <c r="D1" s="75"/>
      <c r="E1" s="75"/>
    </row>
    <row r="2" spans="1:9" x14ac:dyDescent="0.75">
      <c r="A2" s="75" t="s">
        <v>86</v>
      </c>
      <c r="B2" s="75"/>
      <c r="C2" s="75"/>
      <c r="D2" s="75"/>
      <c r="E2" s="75"/>
    </row>
    <row r="3" spans="1:9" x14ac:dyDescent="0.75">
      <c r="A3" s="76" t="s">
        <v>0</v>
      </c>
      <c r="B3" s="77"/>
      <c r="C3" s="76" t="s">
        <v>1</v>
      </c>
      <c r="D3" s="78"/>
      <c r="E3" s="77"/>
      <c r="F3" s="37" t="s">
        <v>81</v>
      </c>
      <c r="G3" s="54"/>
    </row>
    <row r="4" spans="1:9" x14ac:dyDescent="0.75">
      <c r="A4" s="22" t="s">
        <v>5</v>
      </c>
      <c r="B4" s="15">
        <v>17152.5</v>
      </c>
      <c r="C4" s="5" t="s">
        <v>84</v>
      </c>
      <c r="D4" s="6" t="s">
        <v>17</v>
      </c>
      <c r="E4" s="16">
        <v>1000</v>
      </c>
      <c r="F4" s="1" t="s">
        <v>89</v>
      </c>
    </row>
    <row r="5" spans="1:9" s="37" customFormat="1" x14ac:dyDescent="0.75">
      <c r="A5" s="33" t="s">
        <v>12</v>
      </c>
      <c r="B5" s="34">
        <v>2500</v>
      </c>
      <c r="C5" s="5" t="s">
        <v>95</v>
      </c>
      <c r="D5" s="33" t="s">
        <v>18</v>
      </c>
      <c r="E5" s="36">
        <v>1247</v>
      </c>
      <c r="F5" s="14" t="s">
        <v>90</v>
      </c>
      <c r="G5" s="55"/>
    </row>
    <row r="6" spans="1:9" x14ac:dyDescent="0.75">
      <c r="A6" s="23" t="s">
        <v>14</v>
      </c>
      <c r="B6" s="27">
        <v>800</v>
      </c>
      <c r="C6" s="5" t="s">
        <v>96</v>
      </c>
      <c r="D6" s="6" t="s">
        <v>87</v>
      </c>
      <c r="E6" s="16">
        <v>5000</v>
      </c>
    </row>
    <row r="7" spans="1:9" s="14" customFormat="1" x14ac:dyDescent="0.75">
      <c r="A7" s="13" t="s">
        <v>15</v>
      </c>
      <c r="B7" s="15">
        <v>500</v>
      </c>
      <c r="C7" s="5" t="s">
        <v>96</v>
      </c>
      <c r="D7" s="6" t="s">
        <v>88</v>
      </c>
      <c r="E7" s="16">
        <v>1100</v>
      </c>
      <c r="F7" s="1"/>
      <c r="G7" s="26"/>
      <c r="H7" s="19"/>
    </row>
    <row r="8" spans="1:9" x14ac:dyDescent="0.75">
      <c r="A8" s="6" t="s">
        <v>20</v>
      </c>
      <c r="B8" s="15">
        <v>500</v>
      </c>
      <c r="C8" s="18" t="s">
        <v>102</v>
      </c>
      <c r="D8" s="6" t="s">
        <v>101</v>
      </c>
      <c r="E8" s="15">
        <v>1423</v>
      </c>
    </row>
    <row r="9" spans="1:9" x14ac:dyDescent="0.75">
      <c r="A9" s="6" t="s">
        <v>16</v>
      </c>
      <c r="B9" s="15">
        <v>500</v>
      </c>
      <c r="C9" s="18" t="s">
        <v>97</v>
      </c>
      <c r="D9" s="6" t="s">
        <v>98</v>
      </c>
      <c r="E9" s="15">
        <v>200</v>
      </c>
    </row>
    <row r="10" spans="1:9" x14ac:dyDescent="0.75">
      <c r="A10" s="6" t="s">
        <v>43</v>
      </c>
      <c r="B10" s="15">
        <v>300</v>
      </c>
      <c r="C10" s="18" t="s">
        <v>97</v>
      </c>
      <c r="D10" s="6" t="s">
        <v>92</v>
      </c>
      <c r="E10" s="15">
        <v>284</v>
      </c>
    </row>
    <row r="11" spans="1:9" x14ac:dyDescent="0.75">
      <c r="A11" s="6" t="s">
        <v>25</v>
      </c>
      <c r="B11" s="15">
        <v>1000</v>
      </c>
      <c r="C11" s="18" t="s">
        <v>99</v>
      </c>
      <c r="D11" s="6" t="s">
        <v>93</v>
      </c>
      <c r="E11" s="15">
        <v>1158</v>
      </c>
    </row>
    <row r="12" spans="1:9" x14ac:dyDescent="0.75">
      <c r="A12" s="6"/>
      <c r="B12" s="15"/>
      <c r="C12" s="18" t="s">
        <v>100</v>
      </c>
      <c r="D12" s="6" t="s">
        <v>94</v>
      </c>
      <c r="E12" s="15">
        <v>600</v>
      </c>
    </row>
    <row r="13" spans="1:9" x14ac:dyDescent="0.75">
      <c r="A13" s="6"/>
      <c r="B13" s="15"/>
      <c r="C13" s="18" t="s">
        <v>103</v>
      </c>
      <c r="D13" s="6" t="s">
        <v>104</v>
      </c>
      <c r="E13" s="15">
        <v>392</v>
      </c>
    </row>
    <row r="14" spans="1:9" x14ac:dyDescent="0.75">
      <c r="A14" s="6" t="s">
        <v>2</v>
      </c>
      <c r="B14" s="64">
        <f>SUM(B4:B12)</f>
        <v>23252.5</v>
      </c>
      <c r="C14" s="5"/>
      <c r="D14" s="6"/>
      <c r="E14" s="65">
        <f>SUM(E4:E13)</f>
        <v>12404</v>
      </c>
    </row>
    <row r="15" spans="1:9" x14ac:dyDescent="0.75">
      <c r="A15" s="3"/>
      <c r="B15" s="3"/>
      <c r="C15" s="10"/>
      <c r="D15" s="3" t="s">
        <v>0</v>
      </c>
      <c r="E15" s="12">
        <v>23252.5</v>
      </c>
      <c r="G15" s="56"/>
      <c r="I15" s="1" t="s">
        <v>26</v>
      </c>
    </row>
    <row r="16" spans="1:9" x14ac:dyDescent="0.75">
      <c r="A16" s="3"/>
      <c r="B16" s="3"/>
      <c r="C16" s="10"/>
      <c r="D16" s="3" t="s">
        <v>1</v>
      </c>
      <c r="E16" s="12">
        <v>12404</v>
      </c>
      <c r="G16" s="57"/>
      <c r="H16" s="1" t="s">
        <v>26</v>
      </c>
    </row>
    <row r="17" spans="1:8" ht="25.8" thickBot="1" x14ac:dyDescent="0.8">
      <c r="A17" s="3"/>
      <c r="B17" s="3"/>
      <c r="C17" s="10"/>
      <c r="D17" s="24" t="s">
        <v>9</v>
      </c>
      <c r="E17" s="42">
        <v>10848.5</v>
      </c>
      <c r="F17" s="1" t="s">
        <v>91</v>
      </c>
      <c r="G17" s="57"/>
    </row>
    <row r="18" spans="1:8" ht="25.8" thickTop="1" x14ac:dyDescent="0.75">
      <c r="A18" s="29" t="s">
        <v>6</v>
      </c>
      <c r="B18" s="29"/>
      <c r="C18" s="30"/>
      <c r="D18" s="31"/>
      <c r="E18" s="38"/>
      <c r="G18" s="57"/>
    </row>
    <row r="19" spans="1:8" x14ac:dyDescent="0.75">
      <c r="A19" s="29" t="s">
        <v>10</v>
      </c>
      <c r="B19" s="29"/>
      <c r="C19" s="30"/>
      <c r="D19" s="31" t="s">
        <v>19</v>
      </c>
      <c r="E19"/>
      <c r="G19" s="57"/>
    </row>
    <row r="20" spans="1:8" x14ac:dyDescent="0.75">
      <c r="A20" s="29" t="s">
        <v>21</v>
      </c>
      <c r="B20" s="29"/>
      <c r="C20" s="30"/>
      <c r="D20" s="41" t="s">
        <v>11</v>
      </c>
      <c r="E20"/>
      <c r="G20" s="57"/>
    </row>
    <row r="21" spans="1:8" x14ac:dyDescent="0.75">
      <c r="A21" s="29"/>
      <c r="B21" s="29"/>
      <c r="C21" s="30"/>
      <c r="D21" s="44"/>
      <c r="E21"/>
      <c r="G21" s="57"/>
    </row>
    <row r="22" spans="1:8" x14ac:dyDescent="0.75">
      <c r="A22" s="73" t="s">
        <v>62</v>
      </c>
      <c r="B22" s="73"/>
      <c r="C22" s="30"/>
      <c r="D22" s="46" t="s">
        <v>61</v>
      </c>
      <c r="E22" s="39"/>
      <c r="G22" s="57"/>
    </row>
    <row r="23" spans="1:8" x14ac:dyDescent="0.75">
      <c r="A23" s="73" t="s">
        <v>63</v>
      </c>
      <c r="B23" s="73"/>
      <c r="C23" s="30"/>
      <c r="D23" s="47" t="s">
        <v>66</v>
      </c>
      <c r="E23" s="40"/>
      <c r="G23" s="57"/>
    </row>
    <row r="24" spans="1:8" x14ac:dyDescent="0.75">
      <c r="A24" s="74" t="s">
        <v>105</v>
      </c>
      <c r="B24" s="74"/>
      <c r="C24" s="30"/>
      <c r="D24" s="48" t="s">
        <v>65</v>
      </c>
      <c r="E24" s="41"/>
      <c r="G24" s="57"/>
    </row>
    <row r="25" spans="1:8" x14ac:dyDescent="0.75">
      <c r="A25" s="3"/>
      <c r="B25" s="4"/>
      <c r="C25" s="62"/>
      <c r="D25" s="62" t="s">
        <v>105</v>
      </c>
      <c r="E25" s="62"/>
      <c r="G25" s="57"/>
    </row>
    <row r="26" spans="1:8" ht="27.6" x14ac:dyDescent="0.8">
      <c r="A26" s="29" t="s">
        <v>29</v>
      </c>
      <c r="B26" s="11"/>
      <c r="C26" s="3"/>
      <c r="D26" s="63"/>
      <c r="E26" s="45"/>
      <c r="H26" s="32"/>
    </row>
    <row r="27" spans="1:8" ht="21" customHeight="1" x14ac:dyDescent="0.75">
      <c r="A27" s="73" t="s">
        <v>28</v>
      </c>
      <c r="B27" s="73"/>
      <c r="C27" s="3"/>
      <c r="D27" s="28"/>
      <c r="E27"/>
    </row>
    <row r="28" spans="1:8" x14ac:dyDescent="0.75">
      <c r="A28" s="73" t="s">
        <v>27</v>
      </c>
      <c r="B28" s="73"/>
      <c r="C28" s="3"/>
      <c r="D28"/>
      <c r="E28" s="28"/>
      <c r="H28" s="2"/>
    </row>
    <row r="29" spans="1:8" ht="21" customHeight="1" x14ac:dyDescent="0.75">
      <c r="A29" s="74" t="s">
        <v>106</v>
      </c>
      <c r="B29" s="74"/>
      <c r="E29" s="2"/>
      <c r="H29" s="2"/>
    </row>
    <row r="30" spans="1:8" ht="20.25" customHeight="1" x14ac:dyDescent="0.75">
      <c r="E30" s="4"/>
      <c r="H30" s="2"/>
    </row>
    <row r="31" spans="1:8" ht="20.25" customHeight="1" x14ac:dyDescent="0.75">
      <c r="A31" s="52"/>
      <c r="B31" s="53"/>
    </row>
    <row r="32" spans="1:8" ht="20.25" customHeight="1" x14ac:dyDescent="0.75">
      <c r="A32" s="3"/>
      <c r="B32" s="4"/>
      <c r="C32" s="73"/>
      <c r="D32" s="73"/>
      <c r="E32" s="73"/>
      <c r="H32" s="2"/>
    </row>
    <row r="33" spans="1:8" ht="20.25" customHeight="1" x14ac:dyDescent="0.75">
      <c r="A33" s="29"/>
      <c r="B33" s="11"/>
      <c r="C33" s="74"/>
      <c r="D33" s="74"/>
      <c r="E33" s="74"/>
      <c r="H33" s="2"/>
    </row>
    <row r="34" spans="1:8" x14ac:dyDescent="0.75">
      <c r="A34" s="73"/>
      <c r="B34" s="73"/>
      <c r="C34" s="3"/>
      <c r="D34" s="28"/>
      <c r="E34"/>
      <c r="H34" s="26"/>
    </row>
    <row r="35" spans="1:8" x14ac:dyDescent="0.75">
      <c r="A35" s="73"/>
      <c r="B35" s="73"/>
      <c r="C35" s="3"/>
      <c r="D35"/>
      <c r="E35" s="28"/>
      <c r="H35" s="26"/>
    </row>
    <row r="36" spans="1:8" x14ac:dyDescent="0.75">
      <c r="A36" s="74"/>
      <c r="B36" s="74"/>
      <c r="E36" s="2"/>
    </row>
    <row r="37" spans="1:8" x14ac:dyDescent="0.75">
      <c r="A37" s="80"/>
      <c r="B37" s="80"/>
      <c r="C37" s="80"/>
      <c r="D37" s="80"/>
      <c r="E37" s="80"/>
    </row>
    <row r="38" spans="1:8" x14ac:dyDescent="0.75">
      <c r="A38" s="80"/>
      <c r="B38" s="80"/>
      <c r="C38" s="80"/>
      <c r="D38" s="80"/>
      <c r="E38" s="80"/>
    </row>
    <row r="40" spans="1:8" x14ac:dyDescent="0.75">
      <c r="A40" s="80"/>
      <c r="B40" s="80"/>
      <c r="C40" s="80"/>
      <c r="D40" s="80"/>
      <c r="E40" s="80"/>
    </row>
  </sheetData>
  <mergeCells count="18">
    <mergeCell ref="A40:E40"/>
    <mergeCell ref="A24:B24"/>
    <mergeCell ref="A27:B27"/>
    <mergeCell ref="A28:B28"/>
    <mergeCell ref="A29:B29"/>
    <mergeCell ref="C32:E32"/>
    <mergeCell ref="C33:E33"/>
    <mergeCell ref="A34:B34"/>
    <mergeCell ref="A35:B35"/>
    <mergeCell ref="A36:B36"/>
    <mergeCell ref="A37:E37"/>
    <mergeCell ref="A38:E38"/>
    <mergeCell ref="A23:B23"/>
    <mergeCell ref="A1:E1"/>
    <mergeCell ref="A2:E2"/>
    <mergeCell ref="A3:B3"/>
    <mergeCell ref="C3:E3"/>
    <mergeCell ref="A22:B22"/>
  </mergeCells>
  <pageMargins left="0.7" right="0.7" top="0.75" bottom="0.75" header="0.3" footer="0.3"/>
  <pageSetup paperSize="9" scale="5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ม.ค.69</vt:lpstr>
      <vt:lpstr>ก.พ.69</vt:lpstr>
      <vt:lpstr>มี.ค.68</vt:lpstr>
      <vt:lpstr>เม.ย.68</vt:lpstr>
      <vt:lpstr>พ.ค.68</vt:lpstr>
      <vt:lpstr>มิ.ย.68</vt:lpstr>
      <vt:lpstr>ก.ค.68</vt:lpstr>
      <vt:lpstr>ส.ค.68</vt:lpstr>
      <vt:lpstr>ก.ย.68)</vt:lpstr>
      <vt:lpstr>ก.ย.68(1)</vt:lpstr>
      <vt:lpstr>ต.ค.68</vt:lpstr>
      <vt:lpstr>พ.ย.68</vt:lpstr>
      <vt:lpstr>Sheet1</vt:lpstr>
      <vt:lpstr>ธ.ค.68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</dc:creator>
  <cp:lastModifiedBy>Acer</cp:lastModifiedBy>
  <cp:lastPrinted>2026-06-11T07:29:04Z</cp:lastPrinted>
  <dcterms:created xsi:type="dcterms:W3CDTF">2018-10-02T01:55:38Z</dcterms:created>
  <dcterms:modified xsi:type="dcterms:W3CDTF">2026-06-26T03:27:01Z</dcterms:modified>
</cp:coreProperties>
</file>